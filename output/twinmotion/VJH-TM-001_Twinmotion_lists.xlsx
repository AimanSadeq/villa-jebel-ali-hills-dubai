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Placements" sheetId="2" state="visible" r:id="rId4"/>
    <sheet name="Cameras" sheetId="3" state="visible" r:id="rId5"/>
    <sheet name="Materials" sheetId="4" state="visible" r:id="rId6"/>
  </sheets>
  <definedNames>
    <definedName function="false" hidden="true" localSheetId="3" name="_xlnm._FilterDatabase" vbProcedure="false">Materials!$A$5:$H$48</definedName>
    <definedName function="false" hidden="true" localSheetId="1" name="_xlnm._FilterDatabase" vbProcedure="false">Placements!$A$5:$M$78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<sst xmlns="http://schemas.openxmlformats.org/spreadsheetml/2006/main" count="686" uniqueCount="298">
  <si>
    <t xml:space="preserve">Twinmotion lists</t>
  </si>
  <si>
    <t xml:space="preserve">CONCEPT DESIGN, NOT FOR CONSTRUCTION</t>
  </si>
  <si>
    <t xml:space="preserve">Plot 5130272, Saih Shuaib 1, Jebel Ali Hills. Workbook made 2026-10-23 from the export of the redesign D-061 (branch main-pchd8v).</t>
  </si>
  <si>
    <t xml:space="preserve">Sheet</t>
  </si>
  <si>
    <t xml:space="preserve">Rows</t>
  </si>
  <si>
    <t xml:space="preserve">What it is for</t>
  </si>
  <si>
    <t xml:space="preserve">Placements</t>
  </si>
  <si>
    <t xml:space="preserve">Every furniture piece and tree to place from the Twinmotion library: position, size, rotation.</t>
  </si>
  <si>
    <t xml:space="preserve">Cameras</t>
  </si>
  <si>
    <t xml:space="preserve">The six views for the renders, with the camera, target, lens and the sun of the sun study.</t>
  </si>
  <si>
    <t xml:space="preserve">Materials</t>
  </si>
  <si>
    <t xml:space="preserve">Every material name in the imported model, where it is used, and a library material to drop on it.</t>
  </si>
  <si>
    <t xml:space="preserve">Placements by floor</t>
  </si>
  <si>
    <t xml:space="preserve">Ground floor</t>
  </si>
  <si>
    <t xml:space="preserve">First floor</t>
  </si>
  <si>
    <t xml:space="preserve">Garden</t>
  </si>
  <si>
    <t xml:space="preserve">Total</t>
  </si>
  <si>
    <t xml:space="preserve">Coordinates: metres, in the model's own frame, the same frame the .glb imports into. X runs from the road boundary toward the landscape plot (ESE), Y from the SSW neighbour toward the NNE neighbour, Z up. The house ground floor finish is Z 0.00; the garden ground is Z -0.45.</t>
  </si>
  <si>
    <t xml:space="preserve">In Twinmotion type X, Y and Z into the object's Transform panel. If the panel shows a unit other than metres, convert (1 m = 100 cm).</t>
  </si>
  <si>
    <t xml:space="preserve">Rotation: about the vertical axis, anticlockwise seen from above. 0 means the back of the piece faces -Y.</t>
  </si>
  <si>
    <t xml:space="preserve">These lists come from the CSV files in output/twinmotion. After a design change, run src/model/build_model.py and src/model/export_twinmotion.py; the CSV files update, this workbook does not.</t>
  </si>
  <si>
    <t xml:space="preserve">Furniture and tree placements</t>
  </si>
  <si>
    <t xml:space="preserve">Source: output/twinmotion/VJH-TM-001_placements.csv, written by src/model/export_twinmotion.py. Positions are the centre of the footprint in the model's frame (metres). Placements are indicative (D-054).</t>
  </si>
  <si>
    <t xml:space="preserve">No.</t>
  </si>
  <si>
    <t xml:space="preserve">Item</t>
  </si>
  <si>
    <t xml:space="preserve">Twinmotion library item</t>
  </si>
  <si>
    <t xml:space="preserve">Room</t>
  </si>
  <si>
    <t xml:space="preserve">Floor</t>
  </si>
  <si>
    <t xml:space="preserve">X (m)</t>
  </si>
  <si>
    <t xml:space="preserve">Y (m)</t>
  </si>
  <si>
    <t xml:space="preserve">Z, floor level (m)</t>
  </si>
  <si>
    <t xml:space="preserve">Width (m)</t>
  </si>
  <si>
    <t xml:space="preserve">Depth (m)</t>
  </si>
  <si>
    <t xml:space="preserve">Height (m)</t>
  </si>
  <si>
    <t xml:space="preserve">Rotation about Z (deg)</t>
  </si>
  <si>
    <t xml:space="preserve">Back of the piece faces</t>
  </si>
  <si>
    <t xml:space="preserve">Kitchen run, 3.15 m</t>
  </si>
  <si>
    <t xml:space="preserve">Kitchen base and wall units</t>
  </si>
  <si>
    <t xml:space="preserve">Arabic kitchen</t>
  </si>
  <si>
    <t xml:space="preserve">W (model -x, toward the road)</t>
  </si>
  <si>
    <t xml:space="preserve">Dining chair</t>
  </si>
  <si>
    <t xml:space="preserve">Dining</t>
  </si>
  <si>
    <t xml:space="preserve">S (model -y, toward the SSW neighbour)</t>
  </si>
  <si>
    <t xml:space="preserve">Dining table, 12 seats</t>
  </si>
  <si>
    <t xml:space="preserve">Dining table</t>
  </si>
  <si>
    <t xml:space="preserve">Bed, 1.60 m</t>
  </si>
  <si>
    <t xml:space="preserve">Bed, queen</t>
  </si>
  <si>
    <t xml:space="preserve">Guest bedroom</t>
  </si>
  <si>
    <t xml:space="preserve">TV unit</t>
  </si>
  <si>
    <t xml:space="preserve">TV cabinet with television</t>
  </si>
  <si>
    <t xml:space="preserve">E (model +x, toward the landscape plot)</t>
  </si>
  <si>
    <t xml:space="preserve">Console and mirror</t>
  </si>
  <si>
    <t xml:space="preserve">Console table with mirror</t>
  </si>
  <si>
    <t xml:space="preserve">Hall</t>
  </si>
  <si>
    <t xml:space="preserve">Washer and dryer, counter</t>
  </si>
  <si>
    <t xml:space="preserve">Washing machine and dryer</t>
  </si>
  <si>
    <t xml:space="preserve">Laundry</t>
  </si>
  <si>
    <t xml:space="preserve">N (model +y, toward the NNE neighbour)</t>
  </si>
  <si>
    <t xml:space="preserve">Coffee table</t>
  </si>
  <si>
    <t xml:space="preserve">Living</t>
  </si>
  <si>
    <t xml:space="preserve">Rug</t>
  </si>
  <si>
    <t xml:space="preserve">Sofa, 3.00 m</t>
  </si>
  <si>
    <t xml:space="preserve">Sofa, 3 seats</t>
  </si>
  <si>
    <t xml:space="preserve">Bed, 0.90 m</t>
  </si>
  <si>
    <t xml:space="preserve">Bed, single</t>
  </si>
  <si>
    <t xml:space="preserve">Maid</t>
  </si>
  <si>
    <t xml:space="preserve">Wardrobe</t>
  </si>
  <si>
    <t xml:space="preserve">Vanity, 1 basin</t>
  </si>
  <si>
    <t xml:space="preserve">Basin vanity with mirror</t>
  </si>
  <si>
    <t xml:space="preserve">Powder</t>
  </si>
  <si>
    <t xml:space="preserve">WC</t>
  </si>
  <si>
    <t xml:space="preserve">Wall hung WC</t>
  </si>
  <si>
    <t xml:space="preserve">Console</t>
  </si>
  <si>
    <t xml:space="preserve">Console table</t>
  </si>
  <si>
    <t xml:space="preserve">Salon</t>
  </si>
  <si>
    <t xml:space="preserve">Island, 2.55 m</t>
  </si>
  <si>
    <t xml:space="preserve">Kitchen island</t>
  </si>
  <si>
    <t xml:space="preserve">Show kitchen</t>
  </si>
  <si>
    <t xml:space="preserve">Kitchen run, 2.70 m</t>
  </si>
  <si>
    <t xml:space="preserve">Shower</t>
  </si>
  <si>
    <t xml:space="preserve">Walk in shower with glass screen</t>
  </si>
  <si>
    <t xml:space="preserve">Toilet</t>
  </si>
  <si>
    <t xml:space="preserve">Bathtub</t>
  </si>
  <si>
    <t xml:space="preserve">Freestanding bathtub</t>
  </si>
  <si>
    <t xml:space="preserve">Bath</t>
  </si>
  <si>
    <t xml:space="preserve">Vanity, 2 basins</t>
  </si>
  <si>
    <t xml:space="preserve">Double basin vanity with mirror</t>
  </si>
  <si>
    <t xml:space="preserve">Bedroom 2</t>
  </si>
  <si>
    <t xml:space="preserve">Bedroom 3</t>
  </si>
  <si>
    <t xml:space="preserve">Desk and chair</t>
  </si>
  <si>
    <t xml:space="preserve">Desk with office chair</t>
  </si>
  <si>
    <t xml:space="preserve">Wardrobes, 1.35 m</t>
  </si>
  <si>
    <t xml:space="preserve">Wardrobe run</t>
  </si>
  <si>
    <t xml:space="preserve">Dress</t>
  </si>
  <si>
    <t xml:space="preserve">Wardrobes, 1.92 m</t>
  </si>
  <si>
    <t xml:space="preserve">Wardrobes, 1.93 m</t>
  </si>
  <si>
    <t xml:space="preserve">Wardrobes, 4.80 m</t>
  </si>
  <si>
    <t xml:space="preserve">Family lounge</t>
  </si>
  <si>
    <t xml:space="preserve">Bed, 1.93 m</t>
  </si>
  <si>
    <t xml:space="preserve">Bed, king</t>
  </si>
  <si>
    <t xml:space="preserve">Master suite</t>
  </si>
  <si>
    <t xml:space="preserve">Date palm</t>
  </si>
  <si>
    <t xml:space="preserve">Palm, Phoenix dactylifera (date palm)</t>
  </si>
  <si>
    <t xml:space="preserve">Frangipani</t>
  </si>
  <si>
    <t xml:space="preserve">Tree, Plumeria (frangipani)</t>
  </si>
  <si>
    <t xml:space="preserve">Ghaf tree</t>
  </si>
  <si>
    <t xml:space="preserve">Tree, Prosopis (ghaf) or acacia</t>
  </si>
  <si>
    <t xml:space="preserve">olive</t>
  </si>
  <si>
    <t xml:space="preserve">Tree, Olea europaea (olive), ornamental</t>
  </si>
  <si>
    <t xml:space="preserve">Sidr tree</t>
  </si>
  <si>
    <t xml:space="preserve">Tree, Ziziphus (sidr) or similar broadleaf</t>
  </si>
  <si>
    <t xml:space="preserve">For trees, width and depth are the crown diameter and Z is the garden ground level, 0.45 m below the house floor. Species are indicative, for the landscape architect (brief/garden.yaml).</t>
  </si>
  <si>
    <t xml:space="preserve">Camera views and sun positions</t>
  </si>
  <si>
    <t xml:space="preserve">Source: output/twinmotion/VJH-TM-001_cameras.csv. The six views of deliverable 5 (CLAUDE.md section 10); sun azimuth and elevation from the project sun study (pvlib), Dubai local time.</t>
  </si>
  <si>
    <t xml:space="preserve">View</t>
  </si>
  <si>
    <t xml:space="preserve">Camera X (m)</t>
  </si>
  <si>
    <t xml:space="preserve">Camera Y (m)</t>
  </si>
  <si>
    <t xml:space="preserve">Camera Z (m)</t>
  </si>
  <si>
    <t xml:space="preserve">Target X (m)</t>
  </si>
  <si>
    <t xml:space="preserve">Target Y (m)</t>
  </si>
  <si>
    <t xml:space="preserve">Target Z (m)</t>
  </si>
  <si>
    <t xml:space="preserve">Lens (mm)</t>
  </si>
  <si>
    <t xml:space="preserve">Date and time</t>
  </si>
  <si>
    <t xml:space="preserve">Sun azimuth (deg)</t>
  </si>
  <si>
    <t xml:space="preserve">Sun elevation (deg)</t>
  </si>
  <si>
    <t xml:space="preserve">Entrance and carport from the road</t>
  </si>
  <si>
    <t xml:space="preserve">2026-03-21 15:00</t>
  </si>
  <si>
    <t xml:space="preserve">Double height foyer and the floating stair</t>
  </si>
  <si>
    <t xml:space="preserve">2026-03-21 09:00</t>
  </si>
  <si>
    <t xml:space="preserve">Courtyard from the dining</t>
  </si>
  <si>
    <t xml:space="preserve">Family living and the garden glass</t>
  </si>
  <si>
    <t xml:space="preserve">Master bedroom, the courtyard window</t>
  </si>
  <si>
    <t xml:space="preserve">Garden at sunset</t>
  </si>
  <si>
    <t xml:space="preserve">2026-03-21 18:05</t>
  </si>
  <si>
    <t xml:space="preserve">Aerial view</t>
  </si>
  <si>
    <t xml:space="preserve">Azimuth is measured clockwise from true north. The model's +Y axis points to bearing 30.18 degrees (NNE), so set Twinmotion's north offset to about 30 degrees (TO VERIFY with a shadow check, docs/twinmotion-guide.md section 3).</t>
  </si>
  <si>
    <t xml:space="preserve">Materials in the import and library matches</t>
  </si>
  <si>
    <t xml:space="preserve">Material names exactly as they appear in the .glb and .obj files. Drop one library material on any surface and every surface with that material changes. Library matches are suggestions; pick by eye.</t>
  </si>
  <si>
    <t xml:space="preserve">Palette</t>
  </si>
  <si>
    <t xml:space="preserve">Material name in the import</t>
  </si>
  <si>
    <t xml:space="preserve">Where it is used</t>
  </si>
  <si>
    <t xml:space="preserve">Base colour</t>
  </si>
  <si>
    <t xml:space="preserve">Base colour (hex)</t>
  </si>
  <si>
    <t xml:space="preserve">Search the Twinmotion library for</t>
  </si>
  <si>
    <t xml:space="preserve">Source of the match</t>
  </si>
  <si>
    <t xml:space="preserve">All palettes</t>
  </si>
  <si>
    <t xml:space="preserve">Charcoal stone cladding</t>
  </si>
  <si>
    <t xml:space="preserve">The entrance stone box</t>
  </si>
  <si>
    <t xml:space="preserve">#3B3B3D</t>
  </si>
  <si>
    <t xml:space="preserve">Stone, charcoal or dark basalt, large panels</t>
  </si>
  <si>
    <t xml:space="preserve">Twinmotion guide, section 4</t>
  </si>
  <si>
    <t xml:space="preserve">Garden ground</t>
  </si>
  <si>
    <t xml:space="preserve">Remaining garden ground</t>
  </si>
  <si>
    <t xml:space="preserve">#C7CCA8</t>
  </si>
  <si>
    <t xml:space="preserve">Ground, sand or soil</t>
  </si>
  <si>
    <t xml:space="preserve">Suggested in this workbook</t>
  </si>
  <si>
    <t xml:space="preserve">Glazing</t>
  </si>
  <si>
    <t xml:space="preserve">All windows and glass doors</t>
  </si>
  <si>
    <t xml:space="preserve">#85B2CC</t>
  </si>
  <si>
    <t xml:space="preserve">Glass, clear, low iron</t>
  </si>
  <si>
    <t xml:space="preserve">Lawn</t>
  </si>
  <si>
    <t xml:space="preserve">Lawns</t>
  </si>
  <si>
    <t xml:space="preserve">#739E4C</t>
  </si>
  <si>
    <t xml:space="preserve">Grass, short</t>
  </si>
  <si>
    <t xml:space="preserve">Lift car and shaft</t>
  </si>
  <si>
    <t xml:space="preserve">Home elevator car and shaft</t>
  </si>
  <si>
    <t xml:space="preserve">#666B73</t>
  </si>
  <si>
    <t xml:space="preserve">Metal, brushed stainless steel</t>
  </si>
  <si>
    <t xml:space="preserve">Linear LED line, warm white</t>
  </si>
  <si>
    <t xml:space="preserve">LED outlines on the facade</t>
  </si>
  <si>
    <t xml:space="preserve">#FFDB99</t>
  </si>
  <si>
    <t xml:space="preserve">Neon or emissive, warm white 2700 K</t>
  </si>
  <si>
    <t xml:space="preserve">Partition, painted</t>
  </si>
  <si>
    <t xml:space="preserve">Interior partition faces without a finish surface</t>
  </si>
  <si>
    <t xml:space="preserve">#E6E3DB</t>
  </si>
  <si>
    <t xml:space="preserve">Paint, as the palette's main wall</t>
  </si>
  <si>
    <t xml:space="preserve">Paving, light</t>
  </si>
  <si>
    <t xml:space="preserve">Paths and the service yard</t>
  </si>
  <si>
    <t xml:space="preserve">#CCC7B8</t>
  </si>
  <si>
    <t xml:space="preserve">Concrete pavers</t>
  </si>
  <si>
    <t xml:space="preserve">Planting bed, mulch</t>
  </si>
  <si>
    <t xml:space="preserve">Planting beds</t>
  </si>
  <si>
    <t xml:space="preserve">#735C45</t>
  </si>
  <si>
    <t xml:space="preserve">Ground, bark mulch or soil</t>
  </si>
  <si>
    <t xml:space="preserve">Roof finish</t>
  </si>
  <si>
    <t xml:space="preserve">Roof terrace floor</t>
  </si>
  <si>
    <t xml:space="preserve">#DBD9D1</t>
  </si>
  <si>
    <t xml:space="preserve">Stone pavers or concrete tiles, light grey</t>
  </si>
  <si>
    <t xml:space="preserve">Slab, rendered edge</t>
  </si>
  <si>
    <t xml:space="preserve">Slab edges and parapet caps</t>
  </si>
  <si>
    <t xml:space="preserve">#F2F2ED</t>
  </si>
  <si>
    <t xml:space="preserve">Plaster or stucco, as the outside walls</t>
  </si>
  <si>
    <t xml:space="preserve">Stair, stone</t>
  </si>
  <si>
    <t xml:space="preserve">Stair treads and landings</t>
  </si>
  <si>
    <t xml:space="preserve">#D4CCBF</t>
  </si>
  <si>
    <t xml:space="preserve">Stone, limestone</t>
  </si>
  <si>
    <t xml:space="preserve">Stone deck</t>
  </si>
  <si>
    <t xml:space="preserve">Garden terrace, BBQ terrace, entrance court</t>
  </si>
  <si>
    <t xml:space="preserve">#DBCFB5</t>
  </si>
  <si>
    <t xml:space="preserve">Stone pavers, beige</t>
  </si>
  <si>
    <t xml:space="preserve">Timber</t>
  </si>
  <si>
    <t xml:space="preserve">Doors</t>
  </si>
  <si>
    <t xml:space="preserve">#946E4C</t>
  </si>
  <si>
    <t xml:space="preserve">Wood, teak or iroko</t>
  </si>
  <si>
    <t xml:space="preserve">Timber, soffits, fins and screens</t>
  </si>
  <si>
    <t xml:space="preserve">Soffits under the eaves, canopies and the carport; window fins; the BBQ pergola</t>
  </si>
  <si>
    <t xml:space="preserve">#9E7045</t>
  </si>
  <si>
    <t xml:space="preserve">White render</t>
  </si>
  <si>
    <t xml:space="preserve">Outside walls, the main render</t>
  </si>
  <si>
    <t xml:space="preserve">Plaster or stucco, white, smooth</t>
  </si>
  <si>
    <t xml:space="preserve">1, Sand and Oak</t>
  </si>
  <si>
    <t xml:space="preserve">Floor bedrooms: Light oak engineered timber, wide plank</t>
  </si>
  <si>
    <t xml:space="preserve">Bedrooms, dressing rooms, office</t>
  </si>
  <si>
    <t xml:space="preserve">#C9A77C</t>
  </si>
  <si>
    <t xml:space="preserve">Wood, light oak planks</t>
  </si>
  <si>
    <t xml:space="preserve">Floor kitchen: As the public floor</t>
  </si>
  <si>
    <t xml:space="preserve">Island kitchen, Arabic kitchen, pantry</t>
  </si>
  <si>
    <t xml:space="preserve">#D9CCB4</t>
  </si>
  <si>
    <t xml:space="preserve">Stone, limestone or travertine tiles, 1200 x 600</t>
  </si>
  <si>
    <t xml:space="preserve">Floor public: Beige limestone look porcelain, 1200 x 600, honed</t>
  </si>
  <si>
    <t xml:space="preserve">Foyer, salon, living, dining, family living, gallery, halls, stair</t>
  </si>
  <si>
    <t xml:space="preserve">Floor service: Light beige porcelain, matt</t>
  </si>
  <si>
    <t xml:space="preserve">Maid's room, laundry, plant room, service halls</t>
  </si>
  <si>
    <t xml:space="preserve">#D6CFC2</t>
  </si>
  <si>
    <t xml:space="preserve">Tiles, light beige porcelain, matt</t>
  </si>
  <si>
    <t xml:space="preserve">Floor wet: Beige limestone look porcelain, textured</t>
  </si>
  <si>
    <t xml:space="preserve">Bathrooms and powder rooms</t>
  </si>
  <si>
    <t xml:space="preserve">#CFC1A6</t>
  </si>
  <si>
    <t xml:space="preserve">Stone, textured limestone</t>
  </si>
  <si>
    <t xml:space="preserve">Wall ceiling: Warm white paint, flat</t>
  </si>
  <si>
    <t xml:space="preserve">Ceilings</t>
  </si>
  <si>
    <t xml:space="preserve">#F6F2EA</t>
  </si>
  <si>
    <t xml:space="preserve">Paint, warm white matt</t>
  </si>
  <si>
    <t xml:space="preserve">Wall feature: Travertine slab, TV wall and salon wall</t>
  </si>
  <si>
    <t xml:space="preserve">TV wall between living and dining, salon long wall</t>
  </si>
  <si>
    <t xml:space="preserve">#D8C3A0</t>
  </si>
  <si>
    <t xml:space="preserve">Stone, travertine slab</t>
  </si>
  <si>
    <t xml:space="preserve">Wall main: Warm white paint, matt</t>
  </si>
  <si>
    <t xml:space="preserve">All interior walls not listed below</t>
  </si>
  <si>
    <t xml:space="preserve">#F2ECE1</t>
  </si>
  <si>
    <t xml:space="preserve">Wall wet: Beige stone look porcelain, large format</t>
  </si>
  <si>
    <t xml:space="preserve">Bathroom and powder room walls</t>
  </si>
  <si>
    <t xml:space="preserve">#E0D4BF</t>
  </si>
  <si>
    <t xml:space="preserve">Stone, light limestone, large tiles</t>
  </si>
  <si>
    <t xml:space="preserve">2, Marble and Walnut</t>
  </si>
  <si>
    <t xml:space="preserve">Floor bedrooms: Walnut engineered timber, herringbone</t>
  </si>
  <si>
    <t xml:space="preserve">#7A5236</t>
  </si>
  <si>
    <t xml:space="preserve">Wood, walnut herringbone parquet</t>
  </si>
  <si>
    <t xml:space="preserve">Floor kitchen: As the public floor, honed</t>
  </si>
  <si>
    <t xml:space="preserve">#EAE6DF</t>
  </si>
  <si>
    <t xml:space="preserve">Marble, white Calacatta, honed</t>
  </si>
  <si>
    <t xml:space="preserve">Floor public: White marble look porcelain, Calacatta type, polished</t>
  </si>
  <si>
    <t xml:space="preserve">#EEEBE6</t>
  </si>
  <si>
    <t xml:space="preserve">Marble, white Calacatta, polished</t>
  </si>
  <si>
    <t xml:space="preserve">Floor service: Light grey porcelain, matt</t>
  </si>
  <si>
    <t xml:space="preserve">#D3D1CC</t>
  </si>
  <si>
    <t xml:space="preserve">Tiles, light grey porcelain, matt</t>
  </si>
  <si>
    <t xml:space="preserve">Floor wet: Grey veined marble look porcelain, honed</t>
  </si>
  <si>
    <t xml:space="preserve">#D9D6D0</t>
  </si>
  <si>
    <t xml:space="preserve">Marble, grey veined, honed</t>
  </si>
  <si>
    <t xml:space="preserve">Wall ceiling: Soft white paint, flat</t>
  </si>
  <si>
    <t xml:space="preserve">#F4F2EE</t>
  </si>
  <si>
    <t xml:space="preserve">Paint, soft white flat</t>
  </si>
  <si>
    <t xml:space="preserve">Wall feature: Book matched marble look slab, TV wall and salon wall</t>
  </si>
  <si>
    <t xml:space="preserve">#EBE7E1</t>
  </si>
  <si>
    <t xml:space="preserve">Marble, book matched slab</t>
  </si>
  <si>
    <t xml:space="preserve">Wall main: Greige paint, matt</t>
  </si>
  <si>
    <t xml:space="preserve">#D9D2C6</t>
  </si>
  <si>
    <t xml:space="preserve">Paint, greige matt</t>
  </si>
  <si>
    <t xml:space="preserve">Wall wet: White marble look porcelain, large format</t>
  </si>
  <si>
    <t xml:space="preserve">#F0EDE8</t>
  </si>
  <si>
    <t xml:space="preserve">Marble, white, large tiles</t>
  </si>
  <si>
    <t xml:space="preserve">3, Stone and Charcoal</t>
  </si>
  <si>
    <t xml:space="preserve">Floor bedrooms: Smoked oak engineered timber</t>
  </si>
  <si>
    <t xml:space="preserve">#8A7663</t>
  </si>
  <si>
    <t xml:space="preserve">Wood, smoked oak planks</t>
  </si>
  <si>
    <t xml:space="preserve">#CFCDC8</t>
  </si>
  <si>
    <t xml:space="preserve">Terrazzo, light grey, large tiles</t>
  </si>
  <si>
    <t xml:space="preserve">Floor public: Light grey terrazzo look porcelain, 1200 x 1200</t>
  </si>
  <si>
    <t xml:space="preserve">Floor service: Grey porcelain, matt</t>
  </si>
  <si>
    <t xml:space="preserve">#C4C2BD</t>
  </si>
  <si>
    <t xml:space="preserve">Tiles, grey porcelain, matt</t>
  </si>
  <si>
    <t xml:space="preserve">Floor wet: Mid grey concrete look porcelain, textured</t>
  </si>
  <si>
    <t xml:space="preserve">#A9A7A2</t>
  </si>
  <si>
    <t xml:space="preserve">Concrete, mid grey, textured</t>
  </si>
  <si>
    <t xml:space="preserve">Wall ceiling: Pure white paint, flat</t>
  </si>
  <si>
    <t xml:space="preserve">#FAFAF9</t>
  </si>
  <si>
    <t xml:space="preserve">Paint, pure white flat</t>
  </si>
  <si>
    <t xml:space="preserve">Wall feature: Charcoal microcement, TV wall and salon wall</t>
  </si>
  <si>
    <t xml:space="preserve">#4A4947</t>
  </si>
  <si>
    <t xml:space="preserve">Concrete or microcement, charcoal</t>
  </si>
  <si>
    <t xml:space="preserve">Wall main: Pure white paint, matt</t>
  </si>
  <si>
    <t xml:space="preserve">#F7F7F5</t>
  </si>
  <si>
    <t xml:space="preserve">Paint, pure white matt</t>
  </si>
  <si>
    <t xml:space="preserve">Wall wet: Light grey concrete look porcelain, large format</t>
  </si>
  <si>
    <t xml:space="preserve">#C9C7C2</t>
  </si>
  <si>
    <t xml:space="preserve">Concrete, light grey, large tiles</t>
  </si>
  <si>
    <t xml:space="preserve">Interior colours are visual concept finishes, not a specification: products, slip resistance in wet areas and fire ratings are for the interior designer and the consultant (brief/palettes.yaml).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</si>
</sst>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"/>
    <numFmt numFmtId="166" formatCode="0"/>
    <numFmt numFmtId="167" formatCode="0.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0"/>
      <color rgb="FFB00000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name val="Arial"/>
      <family val="0"/>
      <charset val="1"/>
    </font>
  </fonts>
  <fills count="44">
    <fill>
      <patternFill patternType="none"/>
    </fill>
    <fill>
      <patternFill patternType="gray125"/>
    </fill>
    <fill>
      <patternFill patternType="solid">
        <fgColor rgb="FF3A3F47"/>
        <bgColor rgb="FF3B3B3D"/>
      </patternFill>
    </fill>
    <fill>
      <patternFill patternType="solid">
        <fgColor rgb="FFF3F1EC"/>
        <bgColor rgb="FFF2F2ED"/>
      </patternFill>
    </fill>
    <fill>
      <patternFill patternType="solid">
        <fgColor rgb="FF3B3B3D"/>
        <bgColor rgb="FF3A3F47"/>
      </patternFill>
    </fill>
    <fill>
      <patternFill patternType="solid">
        <fgColor rgb="FFC7CCA8"/>
        <bgColor rgb="FFCCC7B8"/>
      </patternFill>
    </fill>
    <fill>
      <patternFill patternType="solid">
        <fgColor rgb="FF85B2CC"/>
        <bgColor rgb="FFA9A7A2"/>
      </patternFill>
    </fill>
    <fill>
      <patternFill patternType="solid">
        <fgColor rgb="FF739E4C"/>
        <bgColor rgb="FF8A7663"/>
      </patternFill>
    </fill>
    <fill>
      <patternFill patternType="solid">
        <fgColor rgb="FF666B73"/>
        <bgColor rgb="FF735C45"/>
      </patternFill>
    </fill>
    <fill>
      <patternFill patternType="solid">
        <fgColor rgb="FFFFDB99"/>
        <bgColor rgb="FFE0D4BF"/>
      </patternFill>
    </fill>
    <fill>
      <patternFill patternType="solid">
        <fgColor rgb="FFE6E3DB"/>
        <bgColor rgb="FFEAE6DF"/>
      </patternFill>
    </fill>
    <fill>
      <patternFill patternType="solid">
        <fgColor rgb="FFCCC7B8"/>
        <bgColor rgb="FFC8C4BC"/>
      </patternFill>
    </fill>
    <fill>
      <patternFill patternType="solid">
        <fgColor rgb="FF735C45"/>
        <bgColor rgb="FF7A5236"/>
      </patternFill>
    </fill>
    <fill>
      <patternFill patternType="solid">
        <fgColor rgb="FFDBD9D1"/>
        <bgColor rgb="FFD9D6D0"/>
      </patternFill>
    </fill>
    <fill>
      <patternFill patternType="solid">
        <fgColor rgb="FFF2F2ED"/>
        <bgColor rgb="FFF3F1EC"/>
      </patternFill>
    </fill>
    <fill>
      <patternFill patternType="solid">
        <fgColor rgb="FFD4CCBF"/>
        <bgColor rgb="FFD6CFC2"/>
      </patternFill>
    </fill>
    <fill>
      <patternFill patternType="solid">
        <fgColor rgb="FFDBCFB5"/>
        <bgColor rgb="FFD9CCB4"/>
      </patternFill>
    </fill>
    <fill>
      <patternFill patternType="solid">
        <fgColor rgb="FF946E4C"/>
        <bgColor rgb="FF9E7045"/>
      </patternFill>
    </fill>
    <fill>
      <patternFill patternType="solid">
        <fgColor rgb="FF9E7045"/>
        <bgColor rgb="FF946E4C"/>
      </patternFill>
    </fill>
    <fill>
      <patternFill patternType="solid">
        <fgColor rgb="FFC9A77C"/>
        <bgColor rgb="FFA9A7A2"/>
      </patternFill>
    </fill>
    <fill>
      <patternFill patternType="solid">
        <fgColor rgb="FFD9CCB4"/>
        <bgColor rgb="FFDBCFB5"/>
      </patternFill>
    </fill>
    <fill>
      <patternFill patternType="solid">
        <fgColor rgb="FFD6CFC2"/>
        <bgColor rgb="FFD4CCBF"/>
      </patternFill>
    </fill>
    <fill>
      <patternFill patternType="solid">
        <fgColor rgb="FFCFC1A6"/>
        <bgColor rgb="FFD8C3A0"/>
      </patternFill>
    </fill>
    <fill>
      <patternFill patternType="solid">
        <fgColor rgb="FFF6F2EA"/>
        <bgColor rgb="FFF4F2EE"/>
      </patternFill>
    </fill>
    <fill>
      <patternFill patternType="solid">
        <fgColor rgb="FFD8C3A0"/>
        <bgColor rgb="FFCFC1A6"/>
      </patternFill>
    </fill>
    <fill>
      <patternFill patternType="solid">
        <fgColor rgb="FFF2ECE1"/>
        <bgColor rgb="FFF0EDE8"/>
      </patternFill>
    </fill>
    <fill>
      <patternFill patternType="solid">
        <fgColor rgb="FFE0D4BF"/>
        <bgColor rgb="FFD9D2C6"/>
      </patternFill>
    </fill>
    <fill>
      <patternFill patternType="solid">
        <fgColor rgb="FF7A5236"/>
        <bgColor rgb="FF735C45"/>
      </patternFill>
    </fill>
    <fill>
      <patternFill patternType="solid">
        <fgColor rgb="FFEAE6DF"/>
        <bgColor rgb="FFEBE7E1"/>
      </patternFill>
    </fill>
    <fill>
      <patternFill patternType="solid">
        <fgColor rgb="FFEEEBE6"/>
        <bgColor rgb="FFF0EDE8"/>
      </patternFill>
    </fill>
    <fill>
      <patternFill patternType="solid">
        <fgColor rgb="FFD3D1CC"/>
        <bgColor rgb="FFD9D2C6"/>
      </patternFill>
    </fill>
    <fill>
      <patternFill patternType="solid">
        <fgColor rgb="FFD9D6D0"/>
        <bgColor rgb="FFDBD9D1"/>
      </patternFill>
    </fill>
    <fill>
      <patternFill patternType="solid">
        <fgColor rgb="FFF4F2EE"/>
        <bgColor rgb="FFF2F2ED"/>
      </patternFill>
    </fill>
    <fill>
      <patternFill patternType="solid">
        <fgColor rgb="FFEBE7E1"/>
        <bgColor rgb="FFEAE6DF"/>
      </patternFill>
    </fill>
    <fill>
      <patternFill patternType="solid">
        <fgColor rgb="FFD9D2C6"/>
        <bgColor rgb="FFD6CFC2"/>
      </patternFill>
    </fill>
    <fill>
      <patternFill patternType="solid">
        <fgColor rgb="FFF0EDE8"/>
        <bgColor rgb="FFEEEBE6"/>
      </patternFill>
    </fill>
    <fill>
      <patternFill patternType="solid">
        <fgColor rgb="FF8A7663"/>
        <bgColor rgb="FF946E4C"/>
      </patternFill>
    </fill>
    <fill>
      <patternFill patternType="solid">
        <fgColor rgb="FFCFCDC8"/>
        <bgColor rgb="FFD3D1CC"/>
      </patternFill>
    </fill>
    <fill>
      <patternFill patternType="solid">
        <fgColor rgb="FFC4C2BD"/>
        <bgColor rgb="FFC8C4BC"/>
      </patternFill>
    </fill>
    <fill>
      <patternFill patternType="solid">
        <fgColor rgb="FFA9A7A2"/>
        <bgColor rgb="FFC9A77C"/>
      </patternFill>
    </fill>
    <fill>
      <patternFill patternType="solid">
        <fgColor rgb="FFFAFAF9"/>
        <bgColor rgb="FFF7F7F5"/>
      </patternFill>
    </fill>
    <fill>
      <patternFill patternType="solid">
        <fgColor rgb="FF4A4947"/>
        <bgColor rgb="FF3A3F47"/>
      </patternFill>
    </fill>
    <fill>
      <patternFill patternType="solid">
        <fgColor rgb="FFF7F7F5"/>
        <bgColor rgb="FFFAFAF9"/>
      </patternFill>
    </fill>
    <fill>
      <patternFill patternType="solid">
        <fgColor rgb="FFC9C7C2"/>
        <bgColor rgb="FFC8C4B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8C4BC"/>
      </left>
      <right style="thin">
        <color rgb="FFC8C4BC"/>
      </right>
      <top style="thin">
        <color rgb="FFC8C4BC"/>
      </top>
      <bottom style="thin">
        <color rgb="FFC8C4B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11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1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1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1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1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1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1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1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1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1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1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1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4">
    <dxf>
      <fill>
        <patternFill patternType="solid">
          <fgColor rgb="FF3A3F47"/>
          <bgColor rgb="FF000000"/>
        </patternFill>
      </fill>
    </dxf>
    <dxf>
      <fill>
        <patternFill patternType="solid">
          <fgColor rgb="FFF3F1E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3B3B3D"/>
          <bgColor rgb="FF000000"/>
        </patternFill>
      </fill>
    </dxf>
    <dxf>
      <fill>
        <patternFill patternType="solid">
          <fgColor rgb="FF4A4947"/>
          <bgColor rgb="FF000000"/>
        </patternFill>
      </fill>
    </dxf>
    <dxf>
      <fill>
        <patternFill patternType="solid">
          <fgColor rgb="FF666B73"/>
          <bgColor rgb="FF000000"/>
        </patternFill>
      </fill>
    </dxf>
    <dxf>
      <fill>
        <patternFill patternType="solid">
          <fgColor rgb="FF735C45"/>
          <bgColor rgb="FF000000"/>
        </patternFill>
      </fill>
    </dxf>
    <dxf>
      <fill>
        <patternFill patternType="solid">
          <fgColor rgb="FF739E4C"/>
          <bgColor rgb="FF000000"/>
        </patternFill>
      </fill>
    </dxf>
    <dxf>
      <fill>
        <patternFill patternType="solid">
          <fgColor rgb="FF7A5236"/>
          <bgColor rgb="FF000000"/>
        </patternFill>
      </fill>
    </dxf>
    <dxf>
      <fill>
        <patternFill patternType="solid">
          <fgColor rgb="FF85B2CC"/>
          <bgColor rgb="FF000000"/>
        </patternFill>
      </fill>
    </dxf>
    <dxf>
      <fill>
        <patternFill patternType="solid">
          <fgColor rgb="FF8A7663"/>
          <bgColor rgb="FF000000"/>
        </patternFill>
      </fill>
    </dxf>
    <dxf>
      <fill>
        <patternFill patternType="solid">
          <fgColor rgb="FF946E4C"/>
          <bgColor rgb="FF000000"/>
        </patternFill>
      </fill>
    </dxf>
    <dxf>
      <fill>
        <patternFill patternType="solid">
          <fgColor rgb="FF9E7045"/>
          <bgColor rgb="FF000000"/>
        </patternFill>
      </fill>
    </dxf>
    <dxf>
      <fill>
        <patternFill patternType="solid">
          <fgColor rgb="FFA9A7A2"/>
          <bgColor rgb="FF000000"/>
        </patternFill>
      </fill>
    </dxf>
    <dxf>
      <fill>
        <patternFill patternType="solid">
          <fgColor rgb="FFC4C2BD"/>
          <bgColor rgb="FF000000"/>
        </patternFill>
      </fill>
    </dxf>
    <dxf>
      <fill>
        <patternFill patternType="solid">
          <fgColor rgb="FFC7CCA8"/>
          <bgColor rgb="FF000000"/>
        </patternFill>
      </fill>
    </dxf>
    <dxf>
      <fill>
        <patternFill patternType="solid">
          <fgColor rgb="FFC9A77C"/>
          <bgColor rgb="FF000000"/>
        </patternFill>
      </fill>
    </dxf>
    <dxf>
      <fill>
        <patternFill patternType="solid">
          <fgColor rgb="FFC9C7C2"/>
          <bgColor rgb="FF000000"/>
        </patternFill>
      </fill>
    </dxf>
    <dxf>
      <fill>
        <patternFill patternType="solid">
          <fgColor rgb="FFCCC7B8"/>
          <bgColor rgb="FF000000"/>
        </patternFill>
      </fill>
    </dxf>
    <dxf>
      <fill>
        <patternFill patternType="solid">
          <fgColor rgb="FFCFC1A6"/>
          <bgColor rgb="FF000000"/>
        </patternFill>
      </fill>
    </dxf>
    <dxf>
      <fill>
        <patternFill patternType="solid">
          <fgColor rgb="FFCFCDC8"/>
          <bgColor rgb="FF000000"/>
        </patternFill>
      </fill>
    </dxf>
    <dxf>
      <fill>
        <patternFill patternType="solid">
          <fgColor rgb="FFD3D1CC"/>
          <bgColor rgb="FF000000"/>
        </patternFill>
      </fill>
    </dxf>
    <dxf>
      <fill>
        <patternFill patternType="solid">
          <fgColor rgb="FFD4CCBF"/>
          <bgColor rgb="FF000000"/>
        </patternFill>
      </fill>
    </dxf>
    <dxf>
      <fill>
        <patternFill patternType="solid">
          <fgColor rgb="FFD6CFC2"/>
          <bgColor rgb="FF000000"/>
        </patternFill>
      </fill>
    </dxf>
    <dxf>
      <fill>
        <patternFill patternType="solid">
          <fgColor rgb="FFD8C3A0"/>
          <bgColor rgb="FF000000"/>
        </patternFill>
      </fill>
    </dxf>
    <dxf>
      <fill>
        <patternFill patternType="solid">
          <fgColor rgb="FFD9CCB4"/>
          <bgColor rgb="FF000000"/>
        </patternFill>
      </fill>
    </dxf>
    <dxf>
      <fill>
        <patternFill patternType="solid">
          <fgColor rgb="FFD9D2C6"/>
          <bgColor rgb="FF000000"/>
        </patternFill>
      </fill>
    </dxf>
    <dxf>
      <fill>
        <patternFill patternType="solid">
          <fgColor rgb="FFD9D6D0"/>
          <bgColor rgb="FF000000"/>
        </patternFill>
      </fill>
    </dxf>
    <dxf>
      <fill>
        <patternFill patternType="solid">
          <fgColor rgb="FFDBCFB5"/>
          <bgColor rgb="FF000000"/>
        </patternFill>
      </fill>
    </dxf>
    <dxf>
      <fill>
        <patternFill patternType="solid">
          <fgColor rgb="FFDBD9D1"/>
          <bgColor rgb="FF000000"/>
        </patternFill>
      </fill>
    </dxf>
    <dxf>
      <fill>
        <patternFill patternType="solid">
          <fgColor rgb="FFE0D4BF"/>
          <bgColor rgb="FF000000"/>
        </patternFill>
      </fill>
    </dxf>
    <dxf>
      <fill>
        <patternFill patternType="solid">
          <fgColor rgb="FFE6E3DB"/>
          <bgColor rgb="FF000000"/>
        </patternFill>
      </fill>
    </dxf>
    <dxf>
      <fill>
        <patternFill patternType="solid">
          <fgColor rgb="FFEAE6DF"/>
          <bgColor rgb="FF000000"/>
        </patternFill>
      </fill>
    </dxf>
    <dxf>
      <fill>
        <patternFill patternType="solid">
          <fgColor rgb="FFEBE7E1"/>
          <bgColor rgb="FF000000"/>
        </patternFill>
      </fill>
    </dxf>
    <dxf>
      <fill>
        <patternFill patternType="solid">
          <fgColor rgb="FFEEEBE6"/>
          <bgColor rgb="FF000000"/>
        </patternFill>
      </fill>
    </dxf>
    <dxf>
      <fill>
        <patternFill patternType="solid">
          <fgColor rgb="FFF0EDE8"/>
          <bgColor rgb="FF000000"/>
        </patternFill>
      </fill>
    </dxf>
    <dxf>
      <fill>
        <patternFill patternType="solid">
          <fgColor rgb="FFF2ECE1"/>
          <bgColor rgb="FF000000"/>
        </patternFill>
      </fill>
    </dxf>
    <dxf>
      <fill>
        <patternFill patternType="solid">
          <fgColor rgb="FFF2F2ED"/>
          <bgColor rgb="FF000000"/>
        </patternFill>
      </fill>
    </dxf>
    <dxf>
      <fill>
        <patternFill patternType="solid">
          <fgColor rgb="FFF4F2EE"/>
          <bgColor rgb="FF000000"/>
        </patternFill>
      </fill>
    </dxf>
    <dxf>
      <fill>
        <patternFill patternType="solid">
          <fgColor rgb="FFF6F2EA"/>
          <bgColor rgb="FF000000"/>
        </patternFill>
      </fill>
    </dxf>
    <dxf>
      <fill>
        <patternFill patternType="solid">
          <fgColor rgb="FFF7F7F5"/>
          <bgColor rgb="FF000000"/>
        </patternFill>
      </fill>
    </dxf>
    <dxf>
      <fill>
        <patternFill patternType="solid">
          <fgColor rgb="FFFAFAF9"/>
          <bgColor rgb="FF000000"/>
        </patternFill>
      </fill>
    </dxf>
    <dxf>
      <fill>
        <patternFill patternType="solid">
          <fgColor rgb="FFFFDB99"/>
          <bgColor rgb="FF000000"/>
        </patternFill>
      </fill>
    </dxf>
  </dxfs>
  <colors>
    <indexedColors>
      <rgbColor rgb="FF000000"/>
      <rgbColor rgb="FFFFFFFF"/>
      <rgbColor rgb="FFFF0000"/>
      <rgbColor rgb="FFE6E3DB"/>
      <rgbColor rgb="FF0000FF"/>
      <rgbColor rgb="FFDBCFB5"/>
      <rgbColor rgb="FFF3F1EC"/>
      <rgbColor rgb="FFD9D6D0"/>
      <rgbColor rgb="FFB00000"/>
      <rgbColor rgb="FFF0EDE8"/>
      <rgbColor rgb="FF000080"/>
      <rgbColor rgb="FF9E7045"/>
      <rgbColor rgb="FFFAFAF9"/>
      <rgbColor rgb="FFD9D2C6"/>
      <rgbColor rgb="FFC4C2BD"/>
      <rgbColor rgb="FF8A7663"/>
      <rgbColor rgb="FF85B2CC"/>
      <rgbColor rgb="FF7A5236"/>
      <rgbColor rgb="FFF6F2EA"/>
      <rgbColor rgb="FFF2F2ED"/>
      <rgbColor rgb="FF660066"/>
      <rgbColor rgb="FFD8C3A0"/>
      <rgbColor rgb="FFEBE7E1"/>
      <rgbColor rgb="FFD3D1CC"/>
      <rgbColor rgb="FF000080"/>
      <rgbColor rgb="FFF4F2EE"/>
      <rgbColor rgb="FFE0D4BF"/>
      <rgbColor rgb="FFDBD9D1"/>
      <rgbColor rgb="FF800080"/>
      <rgbColor rgb="FF800000"/>
      <rgbColor rgb="FFEAE6DF"/>
      <rgbColor rgb="FF0000FF"/>
      <rgbColor rgb="FFCFCDC8"/>
      <rgbColor rgb="FFF7F7F5"/>
      <rgbColor rgb="FFEEEBE6"/>
      <rgbColor rgb="FFF2ECE1"/>
      <rgbColor rgb="FFC9C7C2"/>
      <rgbColor rgb="FFC9A77C"/>
      <rgbColor rgb="FFC8C4BC"/>
      <rgbColor rgb="FFFFDB99"/>
      <rgbColor rgb="FFD6CFC2"/>
      <rgbColor rgb="FFCCC7B8"/>
      <rgbColor rgb="FFC7CCA8"/>
      <rgbColor rgb="FFCFC1A6"/>
      <rgbColor rgb="FFD9CCB4"/>
      <rgbColor rgb="FFD4CCBF"/>
      <rgbColor rgb="FF666B73"/>
      <rgbColor rgb="FFA9A7A2"/>
      <rgbColor rgb="FF555555"/>
      <rgbColor rgb="FF739E4C"/>
      <rgbColor rgb="FF003300"/>
      <rgbColor rgb="FF3A3F47"/>
      <rgbColor rgb="FF946E4C"/>
      <rgbColor rgb="FF735C45"/>
      <rgbColor rgb="FF4A4947"/>
      <rgbColor rgb="FF3B3B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6"/>
    <col collapsed="false" customWidth="true" hidden="false" outlineLevel="0" max="3" min="3" style="0" width="8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</row>
    <row r="6" customFormat="false" ht="15" hidden="false" customHeight="false" outlineLevel="0" collapsed="false">
      <c r="A6" s="5" t="s">
        <v>6</v>
      </c>
      <c r="B6" s="5" t="n">
        <f aca="false">COUNTA(Placements!B6:B78)</f>
        <v>73</v>
      </c>
      <c r="C6" s="5" t="s">
        <v>7</v>
      </c>
    </row>
    <row r="7" customFormat="false" ht="15" hidden="false" customHeight="false" outlineLevel="0" collapsed="false">
      <c r="A7" s="5" t="s">
        <v>8</v>
      </c>
      <c r="B7" s="5" t="n">
        <f aca="false">COUNTA(Cameras!B6:B12)</f>
        <v>7</v>
      </c>
      <c r="C7" s="5" t="s">
        <v>9</v>
      </c>
    </row>
    <row r="8" customFormat="false" ht="15" hidden="false" customHeight="false" outlineLevel="0" collapsed="false">
      <c r="A8" s="5" t="s">
        <v>10</v>
      </c>
      <c r="B8" s="5" t="n">
        <f aca="false">COUNTA(Materials!C6:C48)</f>
        <v>43</v>
      </c>
      <c r="C8" s="5" t="s">
        <v>11</v>
      </c>
    </row>
    <row r="10" customFormat="false" ht="15" hidden="false" customHeight="false" outlineLevel="0" collapsed="false">
      <c r="A10" s="6" t="s">
        <v>12</v>
      </c>
    </row>
    <row r="11" customFormat="false" ht="15" hidden="false" customHeight="false" outlineLevel="0" collapsed="false">
      <c r="A11" s="7" t="s">
        <v>13</v>
      </c>
      <c r="B11" s="7" t="n">
        <f aca="false">COUNTIF(Placements!E6:E78,A11)</f>
        <v>33</v>
      </c>
    </row>
    <row r="12" customFormat="false" ht="15" hidden="false" customHeight="false" outlineLevel="0" collapsed="false">
      <c r="A12" s="7" t="s">
        <v>14</v>
      </c>
      <c r="B12" s="7" t="n">
        <f aca="false">COUNTIF(Placements!E6:E78,A12)</f>
        <v>23</v>
      </c>
    </row>
    <row r="13" customFormat="false" ht="15" hidden="false" customHeight="false" outlineLevel="0" collapsed="false">
      <c r="A13" s="7" t="s">
        <v>15</v>
      </c>
      <c r="B13" s="7" t="n">
        <f aca="false">COUNTIF(Placements!E6:E78,A13)</f>
        <v>17</v>
      </c>
    </row>
    <row r="14" customFormat="false" ht="15" hidden="false" customHeight="false" outlineLevel="0" collapsed="false">
      <c r="A14" s="8" t="s">
        <v>16</v>
      </c>
      <c r="B14" s="8" t="n">
        <f aca="false">SUM(B11:B13)</f>
        <v>73</v>
      </c>
    </row>
    <row r="16" customFormat="false" ht="42" hidden="false" customHeight="true" outlineLevel="0" collapsed="false">
      <c r="A16" s="9" t="s">
        <v>17</v>
      </c>
      <c r="B16" s="9"/>
      <c r="C16" s="9"/>
    </row>
    <row r="17" customFormat="false" ht="42" hidden="false" customHeight="true" outlineLevel="0" collapsed="false">
      <c r="A17" s="9" t="s">
        <v>18</v>
      </c>
      <c r="B17" s="9"/>
      <c r="C17" s="9"/>
    </row>
    <row r="18" customFormat="false" ht="42" hidden="false" customHeight="true" outlineLevel="0" collapsed="false">
      <c r="A18" s="9" t="s">
        <v>19</v>
      </c>
      <c r="B18" s="9"/>
      <c r="C18" s="9"/>
    </row>
    <row r="19" customFormat="false" ht="42" hidden="false" customHeight="true" outlineLevel="0" collapsed="false">
      <c r="A19" s="9" t="s">
        <v>20</v>
      </c>
      <c r="B19" s="9"/>
      <c r="C19" s="9"/>
    </row>
  </sheetData>
  <mergeCells count="4">
    <mergeCell ref="A16:C16"/>
    <mergeCell ref="A17:C17"/>
    <mergeCell ref="A18:C18"/>
    <mergeCell ref="A19:C19"/>
  </mergeCells>
  <printOptions headings="false" gridLines="false" gridLinesSet="true" horizontalCentered="false" verticalCentered="false"/>
  <pageMargins left="0.75" right="0.75" top="1" bottom="1" header="0.5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&amp;CVilla 5130272, Jebel Ali Hills: Twinmotion lists</oddHeader>
    <oddFooter>&amp;CCONCEPT DESIGN, NOT FOR CONSTRUCTION&amp;RPage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32"/>
    <col collapsed="false" customWidth="true" hidden="false" outlineLevel="0" max="4" min="4" style="0" width="22"/>
    <col collapsed="false" customWidth="true" hidden="false" outlineLevel="0" max="5" min="5" style="0" width="13"/>
    <col collapsed="false" customWidth="true" hidden="false" outlineLevel="0" max="7" min="6" style="0" width="9"/>
    <col collapsed="false" customWidth="true" hidden="false" outlineLevel="0" max="8" min="8" style="0" width="11"/>
    <col collapsed="false" customWidth="true" hidden="false" outlineLevel="0" max="11" min="9" style="0" width="10"/>
    <col collapsed="false" customWidth="true" hidden="false" outlineLevel="0" max="12" min="12" style="0" width="12"/>
    <col collapsed="false" customWidth="true" hidden="false" outlineLevel="0" max="13" min="13" style="0" width="34"/>
  </cols>
  <sheetData>
    <row r="1" customFormat="false" ht="17.35" hidden="false" customHeight="false" outlineLevel="0" collapsed="false">
      <c r="A1" s="1" t="s">
        <v>21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22</v>
      </c>
    </row>
    <row r="5" customFormat="false" ht="30" hidden="false" customHeight="true" outlineLevel="0" collapsed="false">
      <c r="A5" s="10" t="s">
        <v>23</v>
      </c>
      <c r="B5" s="10" t="s">
        <v>24</v>
      </c>
      <c r="C5" s="10" t="s">
        <v>25</v>
      </c>
      <c r="D5" s="10" t="s">
        <v>26</v>
      </c>
      <c r="E5" s="10" t="s">
        <v>27</v>
      </c>
      <c r="F5" s="10" t="s">
        <v>28</v>
      </c>
      <c r="G5" s="10" t="s">
        <v>29</v>
      </c>
      <c r="H5" s="10" t="s">
        <v>30</v>
      </c>
      <c r="I5" s="10" t="s">
        <v>31</v>
      </c>
      <c r="J5" s="10" t="s">
        <v>32</v>
      </c>
      <c r="K5" s="10" t="s">
        <v>33</v>
      </c>
      <c r="L5" s="10" t="s">
        <v>34</v>
      </c>
      <c r="M5" s="10" t="s">
        <v>35</v>
      </c>
    </row>
    <row r="6" customFormat="false" ht="15" hidden="false" customHeight="false" outlineLevel="0" collapsed="false">
      <c r="A6" s="11" t="n">
        <v>1</v>
      </c>
      <c r="B6" s="11" t="s">
        <v>36</v>
      </c>
      <c r="C6" s="11" t="s">
        <v>37</v>
      </c>
      <c r="D6" s="11" t="s">
        <v>38</v>
      </c>
      <c r="E6" s="11" t="s">
        <v>13</v>
      </c>
      <c r="F6" s="12" t="n">
        <v>11.21</v>
      </c>
      <c r="G6" s="12" t="n">
        <v>13.4</v>
      </c>
      <c r="H6" s="12" t="n">
        <v>0</v>
      </c>
      <c r="I6" s="12" t="n">
        <v>3.15</v>
      </c>
      <c r="J6" s="12" t="n">
        <v>0.62</v>
      </c>
      <c r="K6" s="12" t="n">
        <v>2.25</v>
      </c>
      <c r="L6" s="13" t="n">
        <v>-90</v>
      </c>
      <c r="M6" s="11" t="s">
        <v>39</v>
      </c>
    </row>
    <row r="7" customFormat="false" ht="15" hidden="false" customHeight="false" outlineLevel="0" collapsed="false">
      <c r="A7" s="5" t="n">
        <v>2</v>
      </c>
      <c r="B7" s="5" t="s">
        <v>40</v>
      </c>
      <c r="C7" s="5" t="s">
        <v>40</v>
      </c>
      <c r="D7" s="5" t="s">
        <v>41</v>
      </c>
      <c r="E7" s="5" t="s">
        <v>13</v>
      </c>
      <c r="F7" s="14" t="n">
        <v>15.39</v>
      </c>
      <c r="G7" s="14" t="n">
        <v>20.48</v>
      </c>
      <c r="H7" s="14" t="n">
        <v>0</v>
      </c>
      <c r="I7" s="14" t="n">
        <v>0.48</v>
      </c>
      <c r="J7" s="14" t="n">
        <v>0.46</v>
      </c>
      <c r="K7" s="14" t="n">
        <v>0.92</v>
      </c>
      <c r="L7" s="15" t="n">
        <v>0</v>
      </c>
      <c r="M7" s="5" t="s">
        <v>42</v>
      </c>
    </row>
    <row r="8" customFormat="false" ht="15" hidden="false" customHeight="false" outlineLevel="0" collapsed="false">
      <c r="A8" s="11" t="n">
        <v>3</v>
      </c>
      <c r="B8" s="11" t="s">
        <v>40</v>
      </c>
      <c r="C8" s="11" t="s">
        <v>40</v>
      </c>
      <c r="D8" s="11" t="s">
        <v>41</v>
      </c>
      <c r="E8" s="11" t="s">
        <v>13</v>
      </c>
      <c r="F8" s="12" t="n">
        <v>17.16</v>
      </c>
      <c r="G8" s="12" t="n">
        <v>20.48</v>
      </c>
      <c r="H8" s="12" t="n">
        <v>0</v>
      </c>
      <c r="I8" s="12" t="n">
        <v>0.48</v>
      </c>
      <c r="J8" s="12" t="n">
        <v>0.46</v>
      </c>
      <c r="K8" s="12" t="n">
        <v>0.92</v>
      </c>
      <c r="L8" s="13" t="n">
        <v>0</v>
      </c>
      <c r="M8" s="11" t="s">
        <v>42</v>
      </c>
    </row>
    <row r="9" customFormat="false" ht="15" hidden="false" customHeight="false" outlineLevel="0" collapsed="false">
      <c r="A9" s="5" t="n">
        <v>4</v>
      </c>
      <c r="B9" s="5" t="s">
        <v>40</v>
      </c>
      <c r="C9" s="5" t="s">
        <v>40</v>
      </c>
      <c r="D9" s="5" t="s">
        <v>41</v>
      </c>
      <c r="E9" s="5" t="s">
        <v>13</v>
      </c>
      <c r="F9" s="14" t="n">
        <v>15.39</v>
      </c>
      <c r="G9" s="14" t="n">
        <v>19.88</v>
      </c>
      <c r="H9" s="14" t="n">
        <v>0</v>
      </c>
      <c r="I9" s="14" t="n">
        <v>0.48</v>
      </c>
      <c r="J9" s="14" t="n">
        <v>0.46</v>
      </c>
      <c r="K9" s="14" t="n">
        <v>0.92</v>
      </c>
      <c r="L9" s="15" t="n">
        <v>0</v>
      </c>
      <c r="M9" s="5" t="s">
        <v>42</v>
      </c>
    </row>
    <row r="10" customFormat="false" ht="15" hidden="false" customHeight="false" outlineLevel="0" collapsed="false">
      <c r="A10" s="11" t="n">
        <v>5</v>
      </c>
      <c r="B10" s="11" t="s">
        <v>40</v>
      </c>
      <c r="C10" s="11" t="s">
        <v>40</v>
      </c>
      <c r="D10" s="11" t="s">
        <v>41</v>
      </c>
      <c r="E10" s="11" t="s">
        <v>13</v>
      </c>
      <c r="F10" s="12" t="n">
        <v>17.16</v>
      </c>
      <c r="G10" s="12" t="n">
        <v>19.88</v>
      </c>
      <c r="H10" s="12" t="n">
        <v>0</v>
      </c>
      <c r="I10" s="12" t="n">
        <v>0.48</v>
      </c>
      <c r="J10" s="12" t="n">
        <v>0.46</v>
      </c>
      <c r="K10" s="12" t="n">
        <v>0.92</v>
      </c>
      <c r="L10" s="13" t="n">
        <v>0</v>
      </c>
      <c r="M10" s="11" t="s">
        <v>42</v>
      </c>
    </row>
    <row r="11" customFormat="false" ht="15" hidden="false" customHeight="false" outlineLevel="0" collapsed="false">
      <c r="A11" s="5" t="n">
        <v>6</v>
      </c>
      <c r="B11" s="5" t="s">
        <v>40</v>
      </c>
      <c r="C11" s="5" t="s">
        <v>40</v>
      </c>
      <c r="D11" s="5" t="s">
        <v>41</v>
      </c>
      <c r="E11" s="5" t="s">
        <v>13</v>
      </c>
      <c r="F11" s="14" t="n">
        <v>15.39</v>
      </c>
      <c r="G11" s="14" t="n">
        <v>19.27</v>
      </c>
      <c r="H11" s="14" t="n">
        <v>0</v>
      </c>
      <c r="I11" s="14" t="n">
        <v>0.48</v>
      </c>
      <c r="J11" s="14" t="n">
        <v>0.46</v>
      </c>
      <c r="K11" s="14" t="n">
        <v>0.92</v>
      </c>
      <c r="L11" s="15" t="n">
        <v>0</v>
      </c>
      <c r="M11" s="5" t="s">
        <v>42</v>
      </c>
    </row>
    <row r="12" customFormat="false" ht="15" hidden="false" customHeight="false" outlineLevel="0" collapsed="false">
      <c r="A12" s="11" t="n">
        <v>7</v>
      </c>
      <c r="B12" s="11" t="s">
        <v>40</v>
      </c>
      <c r="C12" s="11" t="s">
        <v>40</v>
      </c>
      <c r="D12" s="11" t="s">
        <v>41</v>
      </c>
      <c r="E12" s="11" t="s">
        <v>13</v>
      </c>
      <c r="F12" s="12" t="n">
        <v>17.16</v>
      </c>
      <c r="G12" s="12" t="n">
        <v>19.27</v>
      </c>
      <c r="H12" s="12" t="n">
        <v>0</v>
      </c>
      <c r="I12" s="12" t="n">
        <v>0.48</v>
      </c>
      <c r="J12" s="12" t="n">
        <v>0.46</v>
      </c>
      <c r="K12" s="12" t="n">
        <v>0.92</v>
      </c>
      <c r="L12" s="13" t="n">
        <v>0</v>
      </c>
      <c r="M12" s="11" t="s">
        <v>42</v>
      </c>
    </row>
    <row r="13" customFormat="false" ht="15" hidden="false" customHeight="false" outlineLevel="0" collapsed="false">
      <c r="A13" s="5" t="n">
        <v>8</v>
      </c>
      <c r="B13" s="5" t="s">
        <v>40</v>
      </c>
      <c r="C13" s="5" t="s">
        <v>40</v>
      </c>
      <c r="D13" s="5" t="s">
        <v>41</v>
      </c>
      <c r="E13" s="5" t="s">
        <v>13</v>
      </c>
      <c r="F13" s="14" t="n">
        <v>15.39</v>
      </c>
      <c r="G13" s="14" t="n">
        <v>18.68</v>
      </c>
      <c r="H13" s="14" t="n">
        <v>0</v>
      </c>
      <c r="I13" s="14" t="n">
        <v>0.48</v>
      </c>
      <c r="J13" s="14" t="n">
        <v>0.46</v>
      </c>
      <c r="K13" s="14" t="n">
        <v>0.92</v>
      </c>
      <c r="L13" s="15" t="n">
        <v>0</v>
      </c>
      <c r="M13" s="5" t="s">
        <v>42</v>
      </c>
    </row>
    <row r="14" customFormat="false" ht="15" hidden="false" customHeight="false" outlineLevel="0" collapsed="false">
      <c r="A14" s="11" t="n">
        <v>9</v>
      </c>
      <c r="B14" s="11" t="s">
        <v>40</v>
      </c>
      <c r="C14" s="11" t="s">
        <v>40</v>
      </c>
      <c r="D14" s="11" t="s">
        <v>41</v>
      </c>
      <c r="E14" s="11" t="s">
        <v>13</v>
      </c>
      <c r="F14" s="12" t="n">
        <v>17.16</v>
      </c>
      <c r="G14" s="12" t="n">
        <v>18.68</v>
      </c>
      <c r="H14" s="12" t="n">
        <v>0</v>
      </c>
      <c r="I14" s="12" t="n">
        <v>0.48</v>
      </c>
      <c r="J14" s="12" t="n">
        <v>0.46</v>
      </c>
      <c r="K14" s="12" t="n">
        <v>0.92</v>
      </c>
      <c r="L14" s="13" t="n">
        <v>0</v>
      </c>
      <c r="M14" s="11" t="s">
        <v>42</v>
      </c>
    </row>
    <row r="15" customFormat="false" ht="15" hidden="false" customHeight="false" outlineLevel="0" collapsed="false">
      <c r="A15" s="5" t="n">
        <v>10</v>
      </c>
      <c r="B15" s="5" t="s">
        <v>40</v>
      </c>
      <c r="C15" s="5" t="s">
        <v>40</v>
      </c>
      <c r="D15" s="5" t="s">
        <v>41</v>
      </c>
      <c r="E15" s="5" t="s">
        <v>13</v>
      </c>
      <c r="F15" s="14" t="n">
        <v>15.39</v>
      </c>
      <c r="G15" s="14" t="n">
        <v>18.07</v>
      </c>
      <c r="H15" s="14" t="n">
        <v>0</v>
      </c>
      <c r="I15" s="14" t="n">
        <v>0.48</v>
      </c>
      <c r="J15" s="14" t="n">
        <v>0.46</v>
      </c>
      <c r="K15" s="14" t="n">
        <v>0.92</v>
      </c>
      <c r="L15" s="15" t="n">
        <v>0</v>
      </c>
      <c r="M15" s="5" t="s">
        <v>42</v>
      </c>
    </row>
    <row r="16" customFormat="false" ht="15" hidden="false" customHeight="false" outlineLevel="0" collapsed="false">
      <c r="A16" s="11" t="n">
        <v>11</v>
      </c>
      <c r="B16" s="11" t="s">
        <v>40</v>
      </c>
      <c r="C16" s="11" t="s">
        <v>40</v>
      </c>
      <c r="D16" s="11" t="s">
        <v>41</v>
      </c>
      <c r="E16" s="11" t="s">
        <v>13</v>
      </c>
      <c r="F16" s="12" t="n">
        <v>17.16</v>
      </c>
      <c r="G16" s="12" t="n">
        <v>18.07</v>
      </c>
      <c r="H16" s="12" t="n">
        <v>0</v>
      </c>
      <c r="I16" s="12" t="n">
        <v>0.48</v>
      </c>
      <c r="J16" s="12" t="n">
        <v>0.46</v>
      </c>
      <c r="K16" s="12" t="n">
        <v>0.92</v>
      </c>
      <c r="L16" s="13" t="n">
        <v>0</v>
      </c>
      <c r="M16" s="11" t="s">
        <v>42</v>
      </c>
    </row>
    <row r="17" customFormat="false" ht="15" hidden="false" customHeight="false" outlineLevel="0" collapsed="false">
      <c r="A17" s="5" t="n">
        <v>12</v>
      </c>
      <c r="B17" s="5" t="s">
        <v>43</v>
      </c>
      <c r="C17" s="5" t="s">
        <v>44</v>
      </c>
      <c r="D17" s="5" t="s">
        <v>41</v>
      </c>
      <c r="E17" s="5" t="s">
        <v>13</v>
      </c>
      <c r="F17" s="14" t="n">
        <v>16.27</v>
      </c>
      <c r="G17" s="14" t="n">
        <v>19.27</v>
      </c>
      <c r="H17" s="14" t="n">
        <v>0</v>
      </c>
      <c r="I17" s="14" t="n">
        <v>1.05</v>
      </c>
      <c r="J17" s="14" t="n">
        <v>3.2</v>
      </c>
      <c r="K17" s="14" t="n">
        <v>0.74</v>
      </c>
      <c r="L17" s="15" t="n">
        <v>0</v>
      </c>
      <c r="M17" s="5" t="s">
        <v>42</v>
      </c>
    </row>
    <row r="18" customFormat="false" ht="15" hidden="false" customHeight="false" outlineLevel="0" collapsed="false">
      <c r="A18" s="11" t="n">
        <v>13</v>
      </c>
      <c r="B18" s="11" t="s">
        <v>45</v>
      </c>
      <c r="C18" s="11" t="s">
        <v>46</v>
      </c>
      <c r="D18" s="11" t="s">
        <v>47</v>
      </c>
      <c r="E18" s="11" t="s">
        <v>13</v>
      </c>
      <c r="F18" s="12" t="n">
        <v>10.24</v>
      </c>
      <c r="G18" s="12" t="n">
        <v>28.05</v>
      </c>
      <c r="H18" s="12" t="n">
        <v>0</v>
      </c>
      <c r="I18" s="12" t="n">
        <v>2.7</v>
      </c>
      <c r="J18" s="12" t="n">
        <v>2.18</v>
      </c>
      <c r="K18" s="12" t="n">
        <v>1.25</v>
      </c>
      <c r="L18" s="13" t="n">
        <v>-90</v>
      </c>
      <c r="M18" s="11" t="s">
        <v>39</v>
      </c>
    </row>
    <row r="19" customFormat="false" ht="15" hidden="false" customHeight="false" outlineLevel="0" collapsed="false">
      <c r="A19" s="5" t="n">
        <v>14</v>
      </c>
      <c r="B19" s="5" t="s">
        <v>48</v>
      </c>
      <c r="C19" s="5" t="s">
        <v>49</v>
      </c>
      <c r="D19" s="5" t="s">
        <v>47</v>
      </c>
      <c r="E19" s="5" t="s">
        <v>13</v>
      </c>
      <c r="F19" s="14" t="n">
        <v>13.43</v>
      </c>
      <c r="G19" s="14" t="n">
        <v>27.95</v>
      </c>
      <c r="H19" s="14" t="n">
        <v>0</v>
      </c>
      <c r="I19" s="14" t="n">
        <v>1.8</v>
      </c>
      <c r="J19" s="14" t="n">
        <v>0.45</v>
      </c>
      <c r="K19" s="14" t="n">
        <v>2</v>
      </c>
      <c r="L19" s="15" t="n">
        <v>90</v>
      </c>
      <c r="M19" s="5" t="s">
        <v>50</v>
      </c>
    </row>
    <row r="20" customFormat="false" ht="15" hidden="false" customHeight="false" outlineLevel="0" collapsed="false">
      <c r="A20" s="11" t="n">
        <v>15</v>
      </c>
      <c r="B20" s="11" t="s">
        <v>51</v>
      </c>
      <c r="C20" s="11" t="s">
        <v>52</v>
      </c>
      <c r="D20" s="11" t="s">
        <v>53</v>
      </c>
      <c r="E20" s="11" t="s">
        <v>13</v>
      </c>
      <c r="F20" s="12" t="n">
        <v>6.62</v>
      </c>
      <c r="G20" s="12" t="n">
        <v>15.45</v>
      </c>
      <c r="H20" s="12" t="n">
        <v>0</v>
      </c>
      <c r="I20" s="12" t="n">
        <v>1.8</v>
      </c>
      <c r="J20" s="12" t="n">
        <v>0.4</v>
      </c>
      <c r="K20" s="12" t="n">
        <v>2.3</v>
      </c>
      <c r="L20" s="13" t="n">
        <v>0</v>
      </c>
      <c r="M20" s="11" t="s">
        <v>42</v>
      </c>
    </row>
    <row r="21" customFormat="false" ht="15" hidden="false" customHeight="false" outlineLevel="0" collapsed="false">
      <c r="A21" s="5" t="n">
        <v>16</v>
      </c>
      <c r="B21" s="5" t="s">
        <v>54</v>
      </c>
      <c r="C21" s="5" t="s">
        <v>55</v>
      </c>
      <c r="D21" s="5" t="s">
        <v>56</v>
      </c>
      <c r="E21" s="5" t="s">
        <v>13</v>
      </c>
      <c r="F21" s="14" t="n">
        <v>9.7</v>
      </c>
      <c r="G21" s="14" t="n">
        <v>14.69</v>
      </c>
      <c r="H21" s="14" t="n">
        <v>0</v>
      </c>
      <c r="I21" s="14" t="n">
        <v>1.4</v>
      </c>
      <c r="J21" s="14" t="n">
        <v>0.62</v>
      </c>
      <c r="K21" s="14" t="n">
        <v>0.89</v>
      </c>
      <c r="L21" s="15" t="n">
        <v>180</v>
      </c>
      <c r="M21" s="5" t="s">
        <v>57</v>
      </c>
    </row>
    <row r="22" customFormat="false" ht="15" hidden="false" customHeight="false" outlineLevel="0" collapsed="false">
      <c r="A22" s="11" t="n">
        <v>17</v>
      </c>
      <c r="B22" s="11" t="s">
        <v>58</v>
      </c>
      <c r="C22" s="11" t="s">
        <v>58</v>
      </c>
      <c r="D22" s="11" t="s">
        <v>59</v>
      </c>
      <c r="E22" s="11" t="s">
        <v>13</v>
      </c>
      <c r="F22" s="12" t="n">
        <v>16.3</v>
      </c>
      <c r="G22" s="12" t="n">
        <v>26.8</v>
      </c>
      <c r="H22" s="12" t="n">
        <v>0</v>
      </c>
      <c r="I22" s="12" t="n">
        <v>0.7</v>
      </c>
      <c r="J22" s="12" t="n">
        <v>1.3</v>
      </c>
      <c r="K22" s="12" t="n">
        <v>0.4</v>
      </c>
      <c r="L22" s="13" t="n">
        <v>0</v>
      </c>
      <c r="M22" s="11" t="s">
        <v>42</v>
      </c>
    </row>
    <row r="23" customFormat="false" ht="15" hidden="false" customHeight="false" outlineLevel="0" collapsed="false">
      <c r="A23" s="5" t="n">
        <v>18</v>
      </c>
      <c r="B23" s="5" t="s">
        <v>60</v>
      </c>
      <c r="C23" s="5" t="s">
        <v>60</v>
      </c>
      <c r="D23" s="5" t="s">
        <v>59</v>
      </c>
      <c r="E23" s="5" t="s">
        <v>13</v>
      </c>
      <c r="F23" s="14" t="n">
        <v>16.65</v>
      </c>
      <c r="G23" s="14" t="n">
        <v>26.8</v>
      </c>
      <c r="H23" s="14" t="n">
        <v>0</v>
      </c>
      <c r="I23" s="14" t="n">
        <v>2.2</v>
      </c>
      <c r="J23" s="14" t="n">
        <v>3</v>
      </c>
      <c r="K23" s="14" t="n">
        <v>0.01</v>
      </c>
      <c r="L23" s="15" t="n">
        <v>0</v>
      </c>
      <c r="M23" s="5" t="s">
        <v>42</v>
      </c>
    </row>
    <row r="24" customFormat="false" ht="15" hidden="false" customHeight="false" outlineLevel="0" collapsed="false">
      <c r="A24" s="11" t="n">
        <v>19</v>
      </c>
      <c r="B24" s="11" t="s">
        <v>61</v>
      </c>
      <c r="C24" s="11" t="s">
        <v>62</v>
      </c>
      <c r="D24" s="11" t="s">
        <v>59</v>
      </c>
      <c r="E24" s="11" t="s">
        <v>13</v>
      </c>
      <c r="F24" s="12" t="n">
        <v>17.27</v>
      </c>
      <c r="G24" s="12" t="n">
        <v>26.8</v>
      </c>
      <c r="H24" s="12" t="n">
        <v>0</v>
      </c>
      <c r="I24" s="12" t="n">
        <v>0.95</v>
      </c>
      <c r="J24" s="12" t="n">
        <v>3</v>
      </c>
      <c r="K24" s="12" t="n">
        <v>0.85</v>
      </c>
      <c r="L24" s="13" t="n">
        <v>0</v>
      </c>
      <c r="M24" s="11" t="s">
        <v>42</v>
      </c>
    </row>
    <row r="25" customFormat="false" ht="15" hidden="false" customHeight="false" outlineLevel="0" collapsed="false">
      <c r="A25" s="5" t="n">
        <v>20</v>
      </c>
      <c r="B25" s="5" t="s">
        <v>48</v>
      </c>
      <c r="C25" s="5" t="s">
        <v>49</v>
      </c>
      <c r="D25" s="5" t="s">
        <v>59</v>
      </c>
      <c r="E25" s="5" t="s">
        <v>13</v>
      </c>
      <c r="F25" s="14" t="n">
        <v>14.03</v>
      </c>
      <c r="G25" s="14" t="n">
        <v>26.8</v>
      </c>
      <c r="H25" s="14" t="n">
        <v>0</v>
      </c>
      <c r="I25" s="14" t="n">
        <v>2.4</v>
      </c>
      <c r="J25" s="14" t="n">
        <v>0.45</v>
      </c>
      <c r="K25" s="14" t="n">
        <v>2</v>
      </c>
      <c r="L25" s="15" t="n">
        <v>-90</v>
      </c>
      <c r="M25" s="5" t="s">
        <v>39</v>
      </c>
    </row>
    <row r="26" customFormat="false" ht="15" hidden="false" customHeight="false" outlineLevel="0" collapsed="false">
      <c r="A26" s="11" t="n">
        <v>21</v>
      </c>
      <c r="B26" s="11" t="s">
        <v>63</v>
      </c>
      <c r="C26" s="11" t="s">
        <v>64</v>
      </c>
      <c r="D26" s="11" t="s">
        <v>65</v>
      </c>
      <c r="E26" s="11" t="s">
        <v>13</v>
      </c>
      <c r="F26" s="12" t="n">
        <v>5.45</v>
      </c>
      <c r="G26" s="12" t="n">
        <v>13.96</v>
      </c>
      <c r="H26" s="12" t="n">
        <v>0</v>
      </c>
      <c r="I26" s="12" t="n">
        <v>1</v>
      </c>
      <c r="J26" s="12" t="n">
        <v>2.08</v>
      </c>
      <c r="K26" s="12" t="n">
        <v>1.25</v>
      </c>
      <c r="L26" s="13" t="n">
        <v>180</v>
      </c>
      <c r="M26" s="11" t="s">
        <v>57</v>
      </c>
    </row>
    <row r="27" customFormat="false" ht="15" hidden="false" customHeight="false" outlineLevel="0" collapsed="false">
      <c r="A27" s="5" t="n">
        <v>22</v>
      </c>
      <c r="B27" s="5" t="s">
        <v>66</v>
      </c>
      <c r="C27" s="5" t="s">
        <v>66</v>
      </c>
      <c r="D27" s="5" t="s">
        <v>65</v>
      </c>
      <c r="E27" s="5" t="s">
        <v>13</v>
      </c>
      <c r="F27" s="14" t="n">
        <v>4.55</v>
      </c>
      <c r="G27" s="14" t="n">
        <v>14.4</v>
      </c>
      <c r="H27" s="14" t="n">
        <v>0</v>
      </c>
      <c r="I27" s="14" t="n">
        <v>0.8</v>
      </c>
      <c r="J27" s="14" t="n">
        <v>0.6</v>
      </c>
      <c r="K27" s="14" t="n">
        <v>2.2</v>
      </c>
      <c r="L27" s="15" t="n">
        <v>-90</v>
      </c>
      <c r="M27" s="5" t="s">
        <v>39</v>
      </c>
    </row>
    <row r="28" customFormat="false" ht="15" hidden="false" customHeight="false" outlineLevel="0" collapsed="false">
      <c r="A28" s="11" t="n">
        <v>23</v>
      </c>
      <c r="B28" s="11" t="s">
        <v>67</v>
      </c>
      <c r="C28" s="11" t="s">
        <v>68</v>
      </c>
      <c r="D28" s="11" t="s">
        <v>69</v>
      </c>
      <c r="E28" s="11" t="s">
        <v>13</v>
      </c>
      <c r="F28" s="12" t="n">
        <v>8.28</v>
      </c>
      <c r="G28" s="12" t="n">
        <v>23.73</v>
      </c>
      <c r="H28" s="12" t="n">
        <v>0.3</v>
      </c>
      <c r="I28" s="12" t="n">
        <v>0.8</v>
      </c>
      <c r="J28" s="12" t="n">
        <v>0.55</v>
      </c>
      <c r="K28" s="12" t="n">
        <v>1.7</v>
      </c>
      <c r="L28" s="13" t="n">
        <v>0</v>
      </c>
      <c r="M28" s="11" t="s">
        <v>42</v>
      </c>
    </row>
    <row r="29" customFormat="false" ht="15" hidden="false" customHeight="false" outlineLevel="0" collapsed="false">
      <c r="A29" s="5" t="n">
        <v>24</v>
      </c>
      <c r="B29" s="5" t="s">
        <v>70</v>
      </c>
      <c r="C29" s="5" t="s">
        <v>71</v>
      </c>
      <c r="D29" s="5" t="s">
        <v>69</v>
      </c>
      <c r="E29" s="5" t="s">
        <v>13</v>
      </c>
      <c r="F29" s="14" t="n">
        <v>8.28</v>
      </c>
      <c r="G29" s="14" t="n">
        <v>25.29</v>
      </c>
      <c r="H29" s="14" t="n">
        <v>0</v>
      </c>
      <c r="I29" s="14" t="n">
        <v>0.5</v>
      </c>
      <c r="J29" s="14" t="n">
        <v>0.62</v>
      </c>
      <c r="K29" s="14" t="n">
        <v>1</v>
      </c>
      <c r="L29" s="15" t="n">
        <v>180</v>
      </c>
      <c r="M29" s="5" t="s">
        <v>57</v>
      </c>
    </row>
    <row r="30" customFormat="false" ht="15" hidden="false" customHeight="false" outlineLevel="0" collapsed="false">
      <c r="A30" s="11" t="n">
        <v>25</v>
      </c>
      <c r="B30" s="11" t="s">
        <v>72</v>
      </c>
      <c r="C30" s="11" t="s">
        <v>73</v>
      </c>
      <c r="D30" s="11" t="s">
        <v>74</v>
      </c>
      <c r="E30" s="11" t="s">
        <v>13</v>
      </c>
      <c r="F30" s="12" t="n">
        <v>8.79</v>
      </c>
      <c r="G30" s="12" t="n">
        <v>27.95</v>
      </c>
      <c r="H30" s="12" t="n">
        <v>0</v>
      </c>
      <c r="I30" s="12" t="n">
        <v>2</v>
      </c>
      <c r="J30" s="12" t="n">
        <v>0.42</v>
      </c>
      <c r="K30" s="12" t="n">
        <v>0.8</v>
      </c>
      <c r="L30" s="13" t="n">
        <v>90</v>
      </c>
      <c r="M30" s="11" t="s">
        <v>50</v>
      </c>
    </row>
    <row r="31" customFormat="false" ht="15" hidden="false" customHeight="false" outlineLevel="0" collapsed="false">
      <c r="A31" s="5" t="n">
        <v>26</v>
      </c>
      <c r="B31" s="5" t="s">
        <v>75</v>
      </c>
      <c r="C31" s="5" t="s">
        <v>76</v>
      </c>
      <c r="D31" s="5" t="s">
        <v>77</v>
      </c>
      <c r="E31" s="5" t="s">
        <v>13</v>
      </c>
      <c r="F31" s="14" t="n">
        <v>16.27</v>
      </c>
      <c r="G31" s="14" t="n">
        <v>12.57</v>
      </c>
      <c r="H31" s="14" t="n">
        <v>0</v>
      </c>
      <c r="I31" s="14" t="n">
        <v>2.55</v>
      </c>
      <c r="J31" s="14" t="n">
        <v>1</v>
      </c>
      <c r="K31" s="14" t="n">
        <v>0.9</v>
      </c>
      <c r="L31" s="15" t="n">
        <v>0</v>
      </c>
      <c r="M31" s="5" t="s">
        <v>42</v>
      </c>
    </row>
    <row r="32" customFormat="false" ht="15" hidden="false" customHeight="false" outlineLevel="0" collapsed="false">
      <c r="A32" s="11" t="n">
        <v>27</v>
      </c>
      <c r="B32" s="11" t="s">
        <v>78</v>
      </c>
      <c r="C32" s="11" t="s">
        <v>37</v>
      </c>
      <c r="D32" s="11" t="s">
        <v>77</v>
      </c>
      <c r="E32" s="11" t="s">
        <v>13</v>
      </c>
      <c r="F32" s="12" t="n">
        <v>14.11</v>
      </c>
      <c r="G32" s="12" t="n">
        <v>11.53</v>
      </c>
      <c r="H32" s="12" t="n">
        <v>0</v>
      </c>
      <c r="I32" s="12" t="n">
        <v>2.7</v>
      </c>
      <c r="J32" s="12" t="n">
        <v>0.62</v>
      </c>
      <c r="K32" s="12" t="n">
        <v>2.25</v>
      </c>
      <c r="L32" s="13" t="n">
        <v>-90</v>
      </c>
      <c r="M32" s="11" t="s">
        <v>39</v>
      </c>
    </row>
    <row r="33" customFormat="false" ht="15" hidden="false" customHeight="false" outlineLevel="0" collapsed="false">
      <c r="A33" s="5" t="n">
        <v>28</v>
      </c>
      <c r="B33" s="5" t="s">
        <v>79</v>
      </c>
      <c r="C33" s="5" t="s">
        <v>80</v>
      </c>
      <c r="D33" s="5" t="s">
        <v>81</v>
      </c>
      <c r="E33" s="5" t="s">
        <v>13</v>
      </c>
      <c r="F33" s="14" t="n">
        <v>11.25</v>
      </c>
      <c r="G33" s="14" t="n">
        <v>24.52</v>
      </c>
      <c r="H33" s="14" t="n">
        <v>0</v>
      </c>
      <c r="I33" s="14" t="n">
        <v>0.9</v>
      </c>
      <c r="J33" s="14" t="n">
        <v>0.9</v>
      </c>
      <c r="K33" s="14" t="n">
        <v>2</v>
      </c>
      <c r="L33" s="15" t="n">
        <v>-90</v>
      </c>
      <c r="M33" s="5" t="s">
        <v>39</v>
      </c>
    </row>
    <row r="34" customFormat="false" ht="15" hidden="false" customHeight="false" outlineLevel="0" collapsed="false">
      <c r="A34" s="11" t="n">
        <v>29</v>
      </c>
      <c r="B34" s="11" t="s">
        <v>67</v>
      </c>
      <c r="C34" s="11" t="s">
        <v>68</v>
      </c>
      <c r="D34" s="11" t="s">
        <v>81</v>
      </c>
      <c r="E34" s="11" t="s">
        <v>13</v>
      </c>
      <c r="F34" s="12" t="n">
        <v>12.22</v>
      </c>
      <c r="G34" s="12" t="n">
        <v>23.73</v>
      </c>
      <c r="H34" s="12" t="n">
        <v>0.3</v>
      </c>
      <c r="I34" s="12" t="n">
        <v>0.8</v>
      </c>
      <c r="J34" s="12" t="n">
        <v>0.55</v>
      </c>
      <c r="K34" s="12" t="n">
        <v>1.7</v>
      </c>
      <c r="L34" s="13" t="n">
        <v>0</v>
      </c>
      <c r="M34" s="11" t="s">
        <v>42</v>
      </c>
    </row>
    <row r="35" customFormat="false" ht="15" hidden="false" customHeight="false" outlineLevel="0" collapsed="false">
      <c r="A35" s="5" t="n">
        <v>30</v>
      </c>
      <c r="B35" s="5" t="s">
        <v>70</v>
      </c>
      <c r="C35" s="5" t="s">
        <v>71</v>
      </c>
      <c r="D35" s="5" t="s">
        <v>81</v>
      </c>
      <c r="E35" s="5" t="s">
        <v>13</v>
      </c>
      <c r="F35" s="14" t="n">
        <v>12.93</v>
      </c>
      <c r="G35" s="14" t="n">
        <v>23.76</v>
      </c>
      <c r="H35" s="14" t="n">
        <v>0</v>
      </c>
      <c r="I35" s="14" t="n">
        <v>0.5</v>
      </c>
      <c r="J35" s="14" t="n">
        <v>0.62</v>
      </c>
      <c r="K35" s="14" t="n">
        <v>1</v>
      </c>
      <c r="L35" s="15" t="n">
        <v>0</v>
      </c>
      <c r="M35" s="5" t="s">
        <v>42</v>
      </c>
    </row>
    <row r="36" customFormat="false" ht="15" hidden="false" customHeight="false" outlineLevel="0" collapsed="false">
      <c r="A36" s="11" t="n">
        <v>31</v>
      </c>
      <c r="B36" s="11" t="s">
        <v>79</v>
      </c>
      <c r="C36" s="11" t="s">
        <v>80</v>
      </c>
      <c r="D36" s="11" t="s">
        <v>70</v>
      </c>
      <c r="E36" s="11" t="s">
        <v>13</v>
      </c>
      <c r="F36" s="12" t="n">
        <v>7.75</v>
      </c>
      <c r="G36" s="12" t="n">
        <v>12.25</v>
      </c>
      <c r="H36" s="12" t="n">
        <v>0</v>
      </c>
      <c r="I36" s="12" t="n">
        <v>0.8</v>
      </c>
      <c r="J36" s="12" t="n">
        <v>0.9</v>
      </c>
      <c r="K36" s="12" t="n">
        <v>2</v>
      </c>
      <c r="L36" s="13" t="n">
        <v>0</v>
      </c>
      <c r="M36" s="11" t="s">
        <v>42</v>
      </c>
    </row>
    <row r="37" customFormat="false" ht="15" hidden="false" customHeight="false" outlineLevel="0" collapsed="false">
      <c r="A37" s="5" t="n">
        <v>32</v>
      </c>
      <c r="B37" s="5" t="s">
        <v>67</v>
      </c>
      <c r="C37" s="5" t="s">
        <v>68</v>
      </c>
      <c r="D37" s="5" t="s">
        <v>70</v>
      </c>
      <c r="E37" s="5" t="s">
        <v>13</v>
      </c>
      <c r="F37" s="14" t="n">
        <v>7.75</v>
      </c>
      <c r="G37" s="14" t="n">
        <v>14.72</v>
      </c>
      <c r="H37" s="14" t="n">
        <v>0.3</v>
      </c>
      <c r="I37" s="14" t="n">
        <v>0.8</v>
      </c>
      <c r="J37" s="14" t="n">
        <v>0.55</v>
      </c>
      <c r="K37" s="14" t="n">
        <v>1.7</v>
      </c>
      <c r="L37" s="15" t="n">
        <v>180</v>
      </c>
      <c r="M37" s="5" t="s">
        <v>57</v>
      </c>
    </row>
    <row r="38" customFormat="false" ht="15" hidden="false" customHeight="false" outlineLevel="0" collapsed="false">
      <c r="A38" s="11" t="n">
        <v>33</v>
      </c>
      <c r="B38" s="11" t="s">
        <v>70</v>
      </c>
      <c r="C38" s="11" t="s">
        <v>71</v>
      </c>
      <c r="D38" s="11" t="s">
        <v>70</v>
      </c>
      <c r="E38" s="11" t="s">
        <v>13</v>
      </c>
      <c r="F38" s="12" t="n">
        <v>7.31</v>
      </c>
      <c r="G38" s="12" t="n">
        <v>14.1</v>
      </c>
      <c r="H38" s="12" t="n">
        <v>0</v>
      </c>
      <c r="I38" s="12" t="n">
        <v>0.5</v>
      </c>
      <c r="J38" s="12" t="n">
        <v>0.62</v>
      </c>
      <c r="K38" s="12" t="n">
        <v>1</v>
      </c>
      <c r="L38" s="13" t="n">
        <v>-90</v>
      </c>
      <c r="M38" s="11" t="s">
        <v>39</v>
      </c>
    </row>
    <row r="39" customFormat="false" ht="15" hidden="false" customHeight="false" outlineLevel="0" collapsed="false">
      <c r="A39" s="5" t="n">
        <v>34</v>
      </c>
      <c r="B39" s="5" t="s">
        <v>82</v>
      </c>
      <c r="C39" s="5" t="s">
        <v>83</v>
      </c>
      <c r="D39" s="5" t="s">
        <v>84</v>
      </c>
      <c r="E39" s="5" t="s">
        <v>14</v>
      </c>
      <c r="F39" s="14" t="n">
        <v>17.55</v>
      </c>
      <c r="G39" s="14" t="n">
        <v>14.6</v>
      </c>
      <c r="H39" s="14" t="n">
        <v>5</v>
      </c>
      <c r="I39" s="14" t="n">
        <v>1.7</v>
      </c>
      <c r="J39" s="14" t="n">
        <v>0.8</v>
      </c>
      <c r="K39" s="14" t="n">
        <v>0.58</v>
      </c>
      <c r="L39" s="15" t="n">
        <v>180</v>
      </c>
      <c r="M39" s="5" t="s">
        <v>57</v>
      </c>
    </row>
    <row r="40" customFormat="false" ht="15" hidden="false" customHeight="false" outlineLevel="0" collapsed="false">
      <c r="A40" s="11" t="n">
        <v>35</v>
      </c>
      <c r="B40" s="11" t="s">
        <v>79</v>
      </c>
      <c r="C40" s="11" t="s">
        <v>80</v>
      </c>
      <c r="D40" s="11" t="s">
        <v>84</v>
      </c>
      <c r="E40" s="11" t="s">
        <v>14</v>
      </c>
      <c r="F40" s="12" t="n">
        <v>17.55</v>
      </c>
      <c r="G40" s="12" t="n">
        <v>10.6</v>
      </c>
      <c r="H40" s="12" t="n">
        <v>5</v>
      </c>
      <c r="I40" s="12" t="n">
        <v>1.2</v>
      </c>
      <c r="J40" s="12" t="n">
        <v>0.9</v>
      </c>
      <c r="K40" s="12" t="n">
        <v>2</v>
      </c>
      <c r="L40" s="13" t="n">
        <v>0</v>
      </c>
      <c r="M40" s="11" t="s">
        <v>42</v>
      </c>
    </row>
    <row r="41" customFormat="false" ht="15" hidden="false" customHeight="false" outlineLevel="0" collapsed="false">
      <c r="A41" s="5" t="n">
        <v>36</v>
      </c>
      <c r="B41" s="5" t="s">
        <v>79</v>
      </c>
      <c r="C41" s="5" t="s">
        <v>80</v>
      </c>
      <c r="D41" s="5" t="s">
        <v>84</v>
      </c>
      <c r="E41" s="5" t="s">
        <v>14</v>
      </c>
      <c r="F41" s="14" t="n">
        <v>10.32</v>
      </c>
      <c r="G41" s="14" t="n">
        <v>23.9</v>
      </c>
      <c r="H41" s="14" t="n">
        <v>5</v>
      </c>
      <c r="I41" s="14" t="n">
        <v>0.9</v>
      </c>
      <c r="J41" s="14" t="n">
        <v>0.9</v>
      </c>
      <c r="K41" s="14" t="n">
        <v>2</v>
      </c>
      <c r="L41" s="15" t="n">
        <v>0</v>
      </c>
      <c r="M41" s="5" t="s">
        <v>42</v>
      </c>
    </row>
    <row r="42" customFormat="false" ht="15" hidden="false" customHeight="false" outlineLevel="0" collapsed="false">
      <c r="A42" s="11" t="n">
        <v>37</v>
      </c>
      <c r="B42" s="11" t="s">
        <v>79</v>
      </c>
      <c r="C42" s="11" t="s">
        <v>80</v>
      </c>
      <c r="D42" s="11" t="s">
        <v>84</v>
      </c>
      <c r="E42" s="11" t="s">
        <v>14</v>
      </c>
      <c r="F42" s="12" t="n">
        <v>17.55</v>
      </c>
      <c r="G42" s="12" t="n">
        <v>23.9</v>
      </c>
      <c r="H42" s="12" t="n">
        <v>5</v>
      </c>
      <c r="I42" s="12" t="n">
        <v>0.9</v>
      </c>
      <c r="J42" s="12" t="n">
        <v>0.9</v>
      </c>
      <c r="K42" s="12" t="n">
        <v>2</v>
      </c>
      <c r="L42" s="13" t="n">
        <v>0</v>
      </c>
      <c r="M42" s="11" t="s">
        <v>42</v>
      </c>
    </row>
    <row r="43" customFormat="false" ht="15" hidden="false" customHeight="false" outlineLevel="0" collapsed="false">
      <c r="A43" s="5" t="n">
        <v>38</v>
      </c>
      <c r="B43" s="5" t="s">
        <v>67</v>
      </c>
      <c r="C43" s="5" t="s">
        <v>68</v>
      </c>
      <c r="D43" s="5" t="s">
        <v>84</v>
      </c>
      <c r="E43" s="5" t="s">
        <v>14</v>
      </c>
      <c r="F43" s="14" t="n">
        <v>9.43</v>
      </c>
      <c r="G43" s="14" t="n">
        <v>24.52</v>
      </c>
      <c r="H43" s="14" t="n">
        <v>5.3</v>
      </c>
      <c r="I43" s="14" t="n">
        <v>0.8</v>
      </c>
      <c r="J43" s="14" t="n">
        <v>0.55</v>
      </c>
      <c r="K43" s="14" t="n">
        <v>1.7</v>
      </c>
      <c r="L43" s="15" t="n">
        <v>-90</v>
      </c>
      <c r="M43" s="5" t="s">
        <v>39</v>
      </c>
    </row>
    <row r="44" customFormat="false" ht="15" hidden="false" customHeight="false" outlineLevel="0" collapsed="false">
      <c r="A44" s="11" t="n">
        <v>39</v>
      </c>
      <c r="B44" s="11" t="s">
        <v>67</v>
      </c>
      <c r="C44" s="11" t="s">
        <v>68</v>
      </c>
      <c r="D44" s="11" t="s">
        <v>84</v>
      </c>
      <c r="E44" s="11" t="s">
        <v>14</v>
      </c>
      <c r="F44" s="12" t="n">
        <v>16.62</v>
      </c>
      <c r="G44" s="12" t="n">
        <v>24.52</v>
      </c>
      <c r="H44" s="12" t="n">
        <v>5.3</v>
      </c>
      <c r="I44" s="12" t="n">
        <v>0.8</v>
      </c>
      <c r="J44" s="12" t="n">
        <v>0.55</v>
      </c>
      <c r="K44" s="12" t="n">
        <v>1.7</v>
      </c>
      <c r="L44" s="13" t="n">
        <v>-90</v>
      </c>
      <c r="M44" s="11" t="s">
        <v>39</v>
      </c>
    </row>
    <row r="45" customFormat="false" ht="15" hidden="false" customHeight="false" outlineLevel="0" collapsed="false">
      <c r="A45" s="5" t="n">
        <v>40</v>
      </c>
      <c r="B45" s="5" t="s">
        <v>85</v>
      </c>
      <c r="C45" s="5" t="s">
        <v>86</v>
      </c>
      <c r="D45" s="5" t="s">
        <v>84</v>
      </c>
      <c r="E45" s="5" t="s">
        <v>14</v>
      </c>
      <c r="F45" s="14" t="n">
        <v>16.62</v>
      </c>
      <c r="G45" s="14" t="n">
        <v>11.23</v>
      </c>
      <c r="H45" s="14" t="n">
        <v>5.3</v>
      </c>
      <c r="I45" s="14" t="n">
        <v>1.6</v>
      </c>
      <c r="J45" s="14" t="n">
        <v>0.55</v>
      </c>
      <c r="K45" s="14" t="n">
        <v>1.7</v>
      </c>
      <c r="L45" s="15" t="n">
        <v>-90</v>
      </c>
      <c r="M45" s="5" t="s">
        <v>39</v>
      </c>
    </row>
    <row r="46" customFormat="false" ht="15" hidden="false" customHeight="false" outlineLevel="0" collapsed="false">
      <c r="A46" s="11" t="n">
        <v>41</v>
      </c>
      <c r="B46" s="11" t="s">
        <v>70</v>
      </c>
      <c r="C46" s="11" t="s">
        <v>71</v>
      </c>
      <c r="D46" s="11" t="s">
        <v>84</v>
      </c>
      <c r="E46" s="11" t="s">
        <v>14</v>
      </c>
      <c r="F46" s="12" t="n">
        <v>16.66</v>
      </c>
      <c r="G46" s="12" t="n">
        <v>13.28</v>
      </c>
      <c r="H46" s="12" t="n">
        <v>5</v>
      </c>
      <c r="I46" s="12" t="n">
        <v>0.5</v>
      </c>
      <c r="J46" s="12" t="n">
        <v>0.62</v>
      </c>
      <c r="K46" s="12" t="n">
        <v>1</v>
      </c>
      <c r="L46" s="13" t="n">
        <v>-90</v>
      </c>
      <c r="M46" s="11" t="s">
        <v>39</v>
      </c>
    </row>
    <row r="47" customFormat="false" ht="15" hidden="false" customHeight="false" outlineLevel="0" collapsed="false">
      <c r="A47" s="5" t="n">
        <v>42</v>
      </c>
      <c r="B47" s="5" t="s">
        <v>70</v>
      </c>
      <c r="C47" s="5" t="s">
        <v>71</v>
      </c>
      <c r="D47" s="5" t="s">
        <v>84</v>
      </c>
      <c r="E47" s="5" t="s">
        <v>14</v>
      </c>
      <c r="F47" s="14" t="n">
        <v>11.12</v>
      </c>
      <c r="G47" s="14" t="n">
        <v>23.76</v>
      </c>
      <c r="H47" s="14" t="n">
        <v>5</v>
      </c>
      <c r="I47" s="14" t="n">
        <v>0.5</v>
      </c>
      <c r="J47" s="14" t="n">
        <v>0.62</v>
      </c>
      <c r="K47" s="14" t="n">
        <v>1</v>
      </c>
      <c r="L47" s="15" t="n">
        <v>0</v>
      </c>
      <c r="M47" s="5" t="s">
        <v>42</v>
      </c>
    </row>
    <row r="48" customFormat="false" ht="15" hidden="false" customHeight="false" outlineLevel="0" collapsed="false">
      <c r="A48" s="11" t="n">
        <v>43</v>
      </c>
      <c r="B48" s="11" t="s">
        <v>70</v>
      </c>
      <c r="C48" s="11" t="s">
        <v>71</v>
      </c>
      <c r="D48" s="11" t="s">
        <v>84</v>
      </c>
      <c r="E48" s="11" t="s">
        <v>14</v>
      </c>
      <c r="F48" s="12" t="n">
        <v>18.35</v>
      </c>
      <c r="G48" s="12" t="n">
        <v>23.76</v>
      </c>
      <c r="H48" s="12" t="n">
        <v>5</v>
      </c>
      <c r="I48" s="12" t="n">
        <v>0.5</v>
      </c>
      <c r="J48" s="12" t="n">
        <v>0.62</v>
      </c>
      <c r="K48" s="12" t="n">
        <v>1</v>
      </c>
      <c r="L48" s="13" t="n">
        <v>0</v>
      </c>
      <c r="M48" s="11" t="s">
        <v>42</v>
      </c>
    </row>
    <row r="49" customFormat="false" ht="15" hidden="false" customHeight="false" outlineLevel="0" collapsed="false">
      <c r="A49" s="5" t="n">
        <v>44</v>
      </c>
      <c r="B49" s="5" t="s">
        <v>45</v>
      </c>
      <c r="C49" s="5" t="s">
        <v>46</v>
      </c>
      <c r="D49" s="5" t="s">
        <v>87</v>
      </c>
      <c r="E49" s="5" t="s">
        <v>14</v>
      </c>
      <c r="F49" s="14" t="n">
        <v>10.24</v>
      </c>
      <c r="G49" s="14" t="n">
        <v>27.95</v>
      </c>
      <c r="H49" s="14" t="n">
        <v>5</v>
      </c>
      <c r="I49" s="14" t="n">
        <v>2.7</v>
      </c>
      <c r="J49" s="14" t="n">
        <v>2.18</v>
      </c>
      <c r="K49" s="14" t="n">
        <v>1.25</v>
      </c>
      <c r="L49" s="15" t="n">
        <v>-90</v>
      </c>
      <c r="M49" s="5" t="s">
        <v>39</v>
      </c>
    </row>
    <row r="50" customFormat="false" ht="15" hidden="false" customHeight="false" outlineLevel="0" collapsed="false">
      <c r="A50" s="11" t="n">
        <v>45</v>
      </c>
      <c r="B50" s="11" t="s">
        <v>48</v>
      </c>
      <c r="C50" s="11" t="s">
        <v>49</v>
      </c>
      <c r="D50" s="11" t="s">
        <v>87</v>
      </c>
      <c r="E50" s="11" t="s">
        <v>14</v>
      </c>
      <c r="F50" s="12" t="n">
        <v>13.43</v>
      </c>
      <c r="G50" s="12" t="n">
        <v>27.95</v>
      </c>
      <c r="H50" s="12" t="n">
        <v>5</v>
      </c>
      <c r="I50" s="12" t="n">
        <v>1.8</v>
      </c>
      <c r="J50" s="12" t="n">
        <v>0.45</v>
      </c>
      <c r="K50" s="12" t="n">
        <v>2</v>
      </c>
      <c r="L50" s="13" t="n">
        <v>90</v>
      </c>
      <c r="M50" s="11" t="s">
        <v>50</v>
      </c>
    </row>
    <row r="51" customFormat="false" ht="15" hidden="false" customHeight="false" outlineLevel="0" collapsed="false">
      <c r="A51" s="5" t="n">
        <v>46</v>
      </c>
      <c r="B51" s="5" t="s">
        <v>45</v>
      </c>
      <c r="C51" s="5" t="s">
        <v>46</v>
      </c>
      <c r="D51" s="5" t="s">
        <v>88</v>
      </c>
      <c r="E51" s="5" t="s">
        <v>14</v>
      </c>
      <c r="F51" s="14" t="n">
        <v>14.89</v>
      </c>
      <c r="G51" s="14" t="n">
        <v>27.95</v>
      </c>
      <c r="H51" s="14" t="n">
        <v>5</v>
      </c>
      <c r="I51" s="14" t="n">
        <v>2.7</v>
      </c>
      <c r="J51" s="14" t="n">
        <v>2.18</v>
      </c>
      <c r="K51" s="14" t="n">
        <v>1.25</v>
      </c>
      <c r="L51" s="15" t="n">
        <v>-90</v>
      </c>
      <c r="M51" s="5" t="s">
        <v>39</v>
      </c>
    </row>
    <row r="52" customFormat="false" ht="15" hidden="false" customHeight="false" outlineLevel="0" collapsed="false">
      <c r="A52" s="11" t="n">
        <v>47</v>
      </c>
      <c r="B52" s="11" t="s">
        <v>89</v>
      </c>
      <c r="C52" s="11" t="s">
        <v>90</v>
      </c>
      <c r="D52" s="11" t="s">
        <v>88</v>
      </c>
      <c r="E52" s="11" t="s">
        <v>14</v>
      </c>
      <c r="F52" s="12" t="n">
        <v>16.27</v>
      </c>
      <c r="G52" s="12" t="n">
        <v>26.31</v>
      </c>
      <c r="H52" s="12" t="n">
        <v>5</v>
      </c>
      <c r="I52" s="12" t="n">
        <v>1.2</v>
      </c>
      <c r="J52" s="12" t="n">
        <v>1.13</v>
      </c>
      <c r="K52" s="12" t="n">
        <v>0.9</v>
      </c>
      <c r="L52" s="13" t="n">
        <v>0</v>
      </c>
      <c r="M52" s="11" t="s">
        <v>42</v>
      </c>
    </row>
    <row r="53" customFormat="false" ht="15" hidden="false" customHeight="false" outlineLevel="0" collapsed="false">
      <c r="A53" s="5" t="n">
        <v>48</v>
      </c>
      <c r="B53" s="5" t="s">
        <v>91</v>
      </c>
      <c r="C53" s="5" t="s">
        <v>92</v>
      </c>
      <c r="D53" s="5" t="s">
        <v>93</v>
      </c>
      <c r="E53" s="5" t="s">
        <v>14</v>
      </c>
      <c r="F53" s="14" t="n">
        <v>15.4</v>
      </c>
      <c r="G53" s="14" t="n">
        <v>23.75</v>
      </c>
      <c r="H53" s="14" t="n">
        <v>5</v>
      </c>
      <c r="I53" s="14" t="n">
        <v>1.35</v>
      </c>
      <c r="J53" s="14" t="n">
        <v>0.6</v>
      </c>
      <c r="K53" s="14" t="n">
        <v>2.4</v>
      </c>
      <c r="L53" s="15" t="n">
        <v>0</v>
      </c>
      <c r="M53" s="5" t="s">
        <v>42</v>
      </c>
    </row>
    <row r="54" customFormat="false" ht="15" hidden="false" customHeight="false" outlineLevel="0" collapsed="false">
      <c r="A54" s="11" t="n">
        <v>49</v>
      </c>
      <c r="B54" s="11" t="s">
        <v>94</v>
      </c>
      <c r="C54" s="11" t="s">
        <v>92</v>
      </c>
      <c r="D54" s="11" t="s">
        <v>93</v>
      </c>
      <c r="E54" s="11" t="s">
        <v>14</v>
      </c>
      <c r="F54" s="12" t="n">
        <v>15.9</v>
      </c>
      <c r="G54" s="12" t="n">
        <v>11.14</v>
      </c>
      <c r="H54" s="12" t="n">
        <v>5</v>
      </c>
      <c r="I54" s="12" t="n">
        <v>1.92</v>
      </c>
      <c r="J54" s="12" t="n">
        <v>0.6</v>
      </c>
      <c r="K54" s="12" t="n">
        <v>2.4</v>
      </c>
      <c r="L54" s="13" t="n">
        <v>90</v>
      </c>
      <c r="M54" s="11" t="s">
        <v>50</v>
      </c>
    </row>
    <row r="55" customFormat="false" ht="15" hidden="false" customHeight="false" outlineLevel="0" collapsed="false">
      <c r="A55" s="5" t="n">
        <v>50</v>
      </c>
      <c r="B55" s="5" t="s">
        <v>95</v>
      </c>
      <c r="C55" s="5" t="s">
        <v>92</v>
      </c>
      <c r="D55" s="5" t="s">
        <v>93</v>
      </c>
      <c r="E55" s="5" t="s">
        <v>14</v>
      </c>
      <c r="F55" s="14" t="n">
        <v>15.9</v>
      </c>
      <c r="G55" s="14" t="n">
        <v>14.01</v>
      </c>
      <c r="H55" s="14" t="n">
        <v>5</v>
      </c>
      <c r="I55" s="14" t="n">
        <v>1.93</v>
      </c>
      <c r="J55" s="14" t="n">
        <v>0.6</v>
      </c>
      <c r="K55" s="14" t="n">
        <v>2.4</v>
      </c>
      <c r="L55" s="15" t="n">
        <v>90</v>
      </c>
      <c r="M55" s="5" t="s">
        <v>50</v>
      </c>
    </row>
    <row r="56" customFormat="false" ht="15" hidden="false" customHeight="false" outlineLevel="0" collapsed="false">
      <c r="A56" s="11" t="n">
        <v>51</v>
      </c>
      <c r="B56" s="11" t="s">
        <v>96</v>
      </c>
      <c r="C56" s="11" t="s">
        <v>92</v>
      </c>
      <c r="D56" s="11" t="s">
        <v>93</v>
      </c>
      <c r="E56" s="11" t="s">
        <v>14</v>
      </c>
      <c r="F56" s="12" t="n">
        <v>14.1</v>
      </c>
      <c r="G56" s="12" t="n">
        <v>12.57</v>
      </c>
      <c r="H56" s="12" t="n">
        <v>5</v>
      </c>
      <c r="I56" s="12" t="n">
        <v>4.8</v>
      </c>
      <c r="J56" s="12" t="n">
        <v>0.6</v>
      </c>
      <c r="K56" s="12" t="n">
        <v>2.4</v>
      </c>
      <c r="L56" s="13" t="n">
        <v>-90</v>
      </c>
      <c r="M56" s="11" t="s">
        <v>39</v>
      </c>
    </row>
    <row r="57" customFormat="false" ht="15" hidden="false" customHeight="false" outlineLevel="0" collapsed="false">
      <c r="A57" s="5" t="n">
        <v>52</v>
      </c>
      <c r="B57" s="5" t="s">
        <v>58</v>
      </c>
      <c r="C57" s="5" t="s">
        <v>58</v>
      </c>
      <c r="D57" s="5" t="s">
        <v>97</v>
      </c>
      <c r="E57" s="5" t="s">
        <v>14</v>
      </c>
      <c r="F57" s="14" t="n">
        <v>6.5</v>
      </c>
      <c r="G57" s="14" t="n">
        <v>27.95</v>
      </c>
      <c r="H57" s="14" t="n">
        <v>5</v>
      </c>
      <c r="I57" s="14" t="n">
        <v>0.7</v>
      </c>
      <c r="J57" s="14" t="n">
        <v>1.3</v>
      </c>
      <c r="K57" s="14" t="n">
        <v>0.4</v>
      </c>
      <c r="L57" s="15" t="n">
        <v>0</v>
      </c>
      <c r="M57" s="5" t="s">
        <v>42</v>
      </c>
    </row>
    <row r="58" customFormat="false" ht="15" hidden="false" customHeight="false" outlineLevel="0" collapsed="false">
      <c r="A58" s="11" t="n">
        <v>53</v>
      </c>
      <c r="B58" s="11" t="s">
        <v>60</v>
      </c>
      <c r="C58" s="11" t="s">
        <v>60</v>
      </c>
      <c r="D58" s="11" t="s">
        <v>97</v>
      </c>
      <c r="E58" s="11" t="s">
        <v>14</v>
      </c>
      <c r="F58" s="12" t="n">
        <v>6.15</v>
      </c>
      <c r="G58" s="12" t="n">
        <v>27.95</v>
      </c>
      <c r="H58" s="12" t="n">
        <v>5</v>
      </c>
      <c r="I58" s="12" t="n">
        <v>2.2</v>
      </c>
      <c r="J58" s="12" t="n">
        <v>3</v>
      </c>
      <c r="K58" s="12" t="n">
        <v>0.01</v>
      </c>
      <c r="L58" s="13" t="n">
        <v>0</v>
      </c>
      <c r="M58" s="11" t="s">
        <v>42</v>
      </c>
    </row>
    <row r="59" customFormat="false" ht="15" hidden="false" customHeight="false" outlineLevel="0" collapsed="false">
      <c r="A59" s="5" t="n">
        <v>54</v>
      </c>
      <c r="B59" s="5" t="s">
        <v>61</v>
      </c>
      <c r="C59" s="5" t="s">
        <v>62</v>
      </c>
      <c r="D59" s="5" t="s">
        <v>97</v>
      </c>
      <c r="E59" s="5" t="s">
        <v>14</v>
      </c>
      <c r="F59" s="14" t="n">
        <v>5.53</v>
      </c>
      <c r="G59" s="14" t="n">
        <v>27.95</v>
      </c>
      <c r="H59" s="14" t="n">
        <v>5</v>
      </c>
      <c r="I59" s="14" t="n">
        <v>0.95</v>
      </c>
      <c r="J59" s="14" t="n">
        <v>3</v>
      </c>
      <c r="K59" s="14" t="n">
        <v>0.85</v>
      </c>
      <c r="L59" s="15" t="n">
        <v>0</v>
      </c>
      <c r="M59" s="5" t="s">
        <v>42</v>
      </c>
    </row>
    <row r="60" customFormat="false" ht="15" hidden="false" customHeight="false" outlineLevel="0" collapsed="false">
      <c r="A60" s="11" t="n">
        <v>55</v>
      </c>
      <c r="B60" s="11" t="s">
        <v>48</v>
      </c>
      <c r="C60" s="11" t="s">
        <v>49</v>
      </c>
      <c r="D60" s="11" t="s">
        <v>97</v>
      </c>
      <c r="E60" s="11" t="s">
        <v>14</v>
      </c>
      <c r="F60" s="12" t="n">
        <v>8.78</v>
      </c>
      <c r="G60" s="12" t="n">
        <v>27.95</v>
      </c>
      <c r="H60" s="12" t="n">
        <v>5</v>
      </c>
      <c r="I60" s="12" t="n">
        <v>2.4</v>
      </c>
      <c r="J60" s="12" t="n">
        <v>0.45</v>
      </c>
      <c r="K60" s="12" t="n">
        <v>2</v>
      </c>
      <c r="L60" s="13" t="n">
        <v>90</v>
      </c>
      <c r="M60" s="11" t="s">
        <v>50</v>
      </c>
    </row>
    <row r="61" customFormat="false" ht="15" hidden="false" customHeight="false" outlineLevel="0" collapsed="false">
      <c r="A61" s="5" t="n">
        <v>56</v>
      </c>
      <c r="B61" s="5" t="s">
        <v>98</v>
      </c>
      <c r="C61" s="5" t="s">
        <v>99</v>
      </c>
      <c r="D61" s="5" t="s">
        <v>100</v>
      </c>
      <c r="E61" s="5" t="s">
        <v>14</v>
      </c>
      <c r="F61" s="14" t="n">
        <v>14.89</v>
      </c>
      <c r="G61" s="14" t="n">
        <v>17.55</v>
      </c>
      <c r="H61" s="14" t="n">
        <v>5</v>
      </c>
      <c r="I61" s="14" t="n">
        <v>3.03</v>
      </c>
      <c r="J61" s="14" t="n">
        <v>2.18</v>
      </c>
      <c r="K61" s="14" t="n">
        <v>1.25</v>
      </c>
      <c r="L61" s="15" t="n">
        <v>-90</v>
      </c>
      <c r="M61" s="5" t="s">
        <v>39</v>
      </c>
    </row>
    <row r="62" customFormat="false" ht="15" hidden="false" customHeight="false" outlineLevel="0" collapsed="false">
      <c r="A62" s="11" t="n">
        <v>57</v>
      </c>
      <c r="B62" s="11" t="s">
        <v>101</v>
      </c>
      <c r="C62" s="11" t="s">
        <v>102</v>
      </c>
      <c r="D62" s="11" t="s">
        <v>15</v>
      </c>
      <c r="E62" s="11" t="s">
        <v>15</v>
      </c>
      <c r="F62" s="12" t="n">
        <v>29.3</v>
      </c>
      <c r="G62" s="12" t="n">
        <v>6</v>
      </c>
      <c r="H62" s="12" t="n">
        <v>-0.45</v>
      </c>
      <c r="I62" s="12" t="n">
        <v>5</v>
      </c>
      <c r="J62" s="12" t="n">
        <v>5</v>
      </c>
      <c r="K62" s="12" t="n">
        <v>7</v>
      </c>
      <c r="L62" s="13" t="n">
        <v>0</v>
      </c>
      <c r="M62" s="11"/>
    </row>
    <row r="63" customFormat="false" ht="15" hidden="false" customHeight="false" outlineLevel="0" collapsed="false">
      <c r="A63" s="5" t="n">
        <v>58</v>
      </c>
      <c r="B63" s="5" t="s">
        <v>101</v>
      </c>
      <c r="C63" s="5" t="s">
        <v>102</v>
      </c>
      <c r="D63" s="5" t="s">
        <v>15</v>
      </c>
      <c r="E63" s="5" t="s">
        <v>15</v>
      </c>
      <c r="F63" s="14" t="n">
        <v>29.3</v>
      </c>
      <c r="G63" s="14" t="n">
        <v>12.5</v>
      </c>
      <c r="H63" s="14" t="n">
        <v>-0.45</v>
      </c>
      <c r="I63" s="14" t="n">
        <v>5</v>
      </c>
      <c r="J63" s="14" t="n">
        <v>5</v>
      </c>
      <c r="K63" s="14" t="n">
        <v>7</v>
      </c>
      <c r="L63" s="15" t="n">
        <v>0</v>
      </c>
      <c r="M63" s="5"/>
    </row>
    <row r="64" customFormat="false" ht="15" hidden="false" customHeight="false" outlineLevel="0" collapsed="false">
      <c r="A64" s="11" t="n">
        <v>59</v>
      </c>
      <c r="B64" s="11" t="s">
        <v>101</v>
      </c>
      <c r="C64" s="11" t="s">
        <v>102</v>
      </c>
      <c r="D64" s="11" t="s">
        <v>15</v>
      </c>
      <c r="E64" s="11" t="s">
        <v>15</v>
      </c>
      <c r="F64" s="12" t="n">
        <v>29.3</v>
      </c>
      <c r="G64" s="12" t="n">
        <v>23.5</v>
      </c>
      <c r="H64" s="12" t="n">
        <v>-0.45</v>
      </c>
      <c r="I64" s="12" t="n">
        <v>5</v>
      </c>
      <c r="J64" s="12" t="n">
        <v>5</v>
      </c>
      <c r="K64" s="12" t="n">
        <v>7</v>
      </c>
      <c r="L64" s="13" t="n">
        <v>0</v>
      </c>
      <c r="M64" s="11"/>
    </row>
    <row r="65" customFormat="false" ht="15" hidden="false" customHeight="false" outlineLevel="0" collapsed="false">
      <c r="A65" s="5" t="n">
        <v>60</v>
      </c>
      <c r="B65" s="5" t="s">
        <v>101</v>
      </c>
      <c r="C65" s="5" t="s">
        <v>102</v>
      </c>
      <c r="D65" s="5" t="s">
        <v>15</v>
      </c>
      <c r="E65" s="5" t="s">
        <v>15</v>
      </c>
      <c r="F65" s="14" t="n">
        <v>1.5</v>
      </c>
      <c r="G65" s="14" t="n">
        <v>32.8</v>
      </c>
      <c r="H65" s="14" t="n">
        <v>-0.45</v>
      </c>
      <c r="I65" s="14" t="n">
        <v>5</v>
      </c>
      <c r="J65" s="14" t="n">
        <v>5</v>
      </c>
      <c r="K65" s="14" t="n">
        <v>7</v>
      </c>
      <c r="L65" s="15" t="n">
        <v>0</v>
      </c>
      <c r="M65" s="5"/>
    </row>
    <row r="66" customFormat="false" ht="15" hidden="false" customHeight="false" outlineLevel="0" collapsed="false">
      <c r="A66" s="11" t="n">
        <v>61</v>
      </c>
      <c r="B66" s="11" t="s">
        <v>101</v>
      </c>
      <c r="C66" s="11" t="s">
        <v>102</v>
      </c>
      <c r="D66" s="11" t="s">
        <v>15</v>
      </c>
      <c r="E66" s="11" t="s">
        <v>15</v>
      </c>
      <c r="F66" s="12" t="n">
        <v>7</v>
      </c>
      <c r="G66" s="12" t="n">
        <v>33.3</v>
      </c>
      <c r="H66" s="12" t="n">
        <v>-0.45</v>
      </c>
      <c r="I66" s="12" t="n">
        <v>5</v>
      </c>
      <c r="J66" s="12" t="n">
        <v>5</v>
      </c>
      <c r="K66" s="12" t="n">
        <v>7</v>
      </c>
      <c r="L66" s="13" t="n">
        <v>0</v>
      </c>
      <c r="M66" s="11"/>
    </row>
    <row r="67" customFormat="false" ht="15" hidden="false" customHeight="false" outlineLevel="0" collapsed="false">
      <c r="A67" s="5" t="n">
        <v>62</v>
      </c>
      <c r="B67" s="5" t="s">
        <v>101</v>
      </c>
      <c r="C67" s="5" t="s">
        <v>102</v>
      </c>
      <c r="D67" s="5" t="s">
        <v>15</v>
      </c>
      <c r="E67" s="5" t="s">
        <v>15</v>
      </c>
      <c r="F67" s="14" t="n">
        <v>1.5</v>
      </c>
      <c r="G67" s="14" t="n">
        <v>1.6</v>
      </c>
      <c r="H67" s="14" t="n">
        <v>-0.45</v>
      </c>
      <c r="I67" s="14" t="n">
        <v>5</v>
      </c>
      <c r="J67" s="14" t="n">
        <v>5</v>
      </c>
      <c r="K67" s="14" t="n">
        <v>7</v>
      </c>
      <c r="L67" s="15" t="n">
        <v>0</v>
      </c>
      <c r="M67" s="5"/>
    </row>
    <row r="68" customFormat="false" ht="15" hidden="false" customHeight="false" outlineLevel="0" collapsed="false">
      <c r="A68" s="11" t="n">
        <v>63</v>
      </c>
      <c r="B68" s="11" t="s">
        <v>101</v>
      </c>
      <c r="C68" s="11" t="s">
        <v>102</v>
      </c>
      <c r="D68" s="11" t="s">
        <v>15</v>
      </c>
      <c r="E68" s="11" t="s">
        <v>15</v>
      </c>
      <c r="F68" s="12" t="n">
        <v>25</v>
      </c>
      <c r="G68" s="12" t="n">
        <v>1.6</v>
      </c>
      <c r="H68" s="12" t="n">
        <v>-0.45</v>
      </c>
      <c r="I68" s="12" t="n">
        <v>5</v>
      </c>
      <c r="J68" s="12" t="n">
        <v>5</v>
      </c>
      <c r="K68" s="12" t="n">
        <v>7</v>
      </c>
      <c r="L68" s="13" t="n">
        <v>0</v>
      </c>
      <c r="M68" s="11"/>
    </row>
    <row r="69" customFormat="false" ht="15" hidden="false" customHeight="false" outlineLevel="0" collapsed="false">
      <c r="A69" s="5" t="n">
        <v>64</v>
      </c>
      <c r="B69" s="5" t="s">
        <v>103</v>
      </c>
      <c r="C69" s="5" t="s">
        <v>104</v>
      </c>
      <c r="D69" s="5" t="s">
        <v>15</v>
      </c>
      <c r="E69" s="5" t="s">
        <v>15</v>
      </c>
      <c r="F69" s="14" t="n">
        <v>25</v>
      </c>
      <c r="G69" s="14" t="n">
        <v>32.6</v>
      </c>
      <c r="H69" s="14" t="n">
        <v>-0.45</v>
      </c>
      <c r="I69" s="14" t="n">
        <v>3.5</v>
      </c>
      <c r="J69" s="14" t="n">
        <v>3.5</v>
      </c>
      <c r="K69" s="14" t="n">
        <v>4</v>
      </c>
      <c r="L69" s="15" t="n">
        <v>0</v>
      </c>
      <c r="M69" s="5"/>
    </row>
    <row r="70" customFormat="false" ht="15" hidden="false" customHeight="false" outlineLevel="0" collapsed="false">
      <c r="A70" s="11" t="n">
        <v>65</v>
      </c>
      <c r="B70" s="11" t="s">
        <v>103</v>
      </c>
      <c r="C70" s="11" t="s">
        <v>104</v>
      </c>
      <c r="D70" s="11" t="s">
        <v>15</v>
      </c>
      <c r="E70" s="11" t="s">
        <v>15</v>
      </c>
      <c r="F70" s="12" t="n">
        <v>16</v>
      </c>
      <c r="G70" s="12" t="n">
        <v>32.6</v>
      </c>
      <c r="H70" s="12" t="n">
        <v>-0.45</v>
      </c>
      <c r="I70" s="12" t="n">
        <v>3.5</v>
      </c>
      <c r="J70" s="12" t="n">
        <v>3.5</v>
      </c>
      <c r="K70" s="12" t="n">
        <v>4</v>
      </c>
      <c r="L70" s="13" t="n">
        <v>0</v>
      </c>
      <c r="M70" s="11"/>
    </row>
    <row r="71" customFormat="false" ht="15" hidden="false" customHeight="false" outlineLevel="0" collapsed="false">
      <c r="A71" s="5" t="n">
        <v>66</v>
      </c>
      <c r="B71" s="5" t="s">
        <v>103</v>
      </c>
      <c r="C71" s="5" t="s">
        <v>104</v>
      </c>
      <c r="D71" s="5" t="s">
        <v>15</v>
      </c>
      <c r="E71" s="5" t="s">
        <v>15</v>
      </c>
      <c r="F71" s="14" t="n">
        <v>25</v>
      </c>
      <c r="G71" s="14" t="n">
        <v>15.5</v>
      </c>
      <c r="H71" s="14" t="n">
        <v>-0.45</v>
      </c>
      <c r="I71" s="14" t="n">
        <v>3.5</v>
      </c>
      <c r="J71" s="14" t="n">
        <v>3.5</v>
      </c>
      <c r="K71" s="14" t="n">
        <v>4</v>
      </c>
      <c r="L71" s="15" t="n">
        <v>0</v>
      </c>
      <c r="M71" s="5"/>
    </row>
    <row r="72" customFormat="false" ht="15" hidden="false" customHeight="false" outlineLevel="0" collapsed="false">
      <c r="A72" s="11" t="n">
        <v>67</v>
      </c>
      <c r="B72" s="11" t="s">
        <v>103</v>
      </c>
      <c r="C72" s="11" t="s">
        <v>104</v>
      </c>
      <c r="D72" s="11" t="s">
        <v>15</v>
      </c>
      <c r="E72" s="11" t="s">
        <v>15</v>
      </c>
      <c r="F72" s="12" t="n">
        <v>1.8</v>
      </c>
      <c r="G72" s="12" t="n">
        <v>11.5</v>
      </c>
      <c r="H72" s="12" t="n">
        <v>-0.45</v>
      </c>
      <c r="I72" s="12" t="n">
        <v>3.5</v>
      </c>
      <c r="J72" s="12" t="n">
        <v>3.5</v>
      </c>
      <c r="K72" s="12" t="n">
        <v>4</v>
      </c>
      <c r="L72" s="13" t="n">
        <v>0</v>
      </c>
      <c r="M72" s="11"/>
    </row>
    <row r="73" customFormat="false" ht="15" hidden="false" customHeight="false" outlineLevel="0" collapsed="false">
      <c r="A73" s="5" t="n">
        <v>68</v>
      </c>
      <c r="B73" s="5" t="s">
        <v>103</v>
      </c>
      <c r="C73" s="5" t="s">
        <v>104</v>
      </c>
      <c r="D73" s="5" t="s">
        <v>15</v>
      </c>
      <c r="E73" s="5" t="s">
        <v>15</v>
      </c>
      <c r="F73" s="14" t="n">
        <v>1.8</v>
      </c>
      <c r="G73" s="14" t="n">
        <v>14.2</v>
      </c>
      <c r="H73" s="14" t="n">
        <v>-0.45</v>
      </c>
      <c r="I73" s="14" t="n">
        <v>3.5</v>
      </c>
      <c r="J73" s="14" t="n">
        <v>3.5</v>
      </c>
      <c r="K73" s="14" t="n">
        <v>4</v>
      </c>
      <c r="L73" s="15" t="n">
        <v>0</v>
      </c>
      <c r="M73" s="5"/>
    </row>
    <row r="74" customFormat="false" ht="15" hidden="false" customHeight="false" outlineLevel="0" collapsed="false">
      <c r="A74" s="11" t="n">
        <v>69</v>
      </c>
      <c r="B74" s="11" t="s">
        <v>103</v>
      </c>
      <c r="C74" s="11" t="s">
        <v>104</v>
      </c>
      <c r="D74" s="11" t="s">
        <v>15</v>
      </c>
      <c r="E74" s="11" t="s">
        <v>15</v>
      </c>
      <c r="F74" s="12" t="n">
        <v>1.8</v>
      </c>
      <c r="G74" s="12" t="n">
        <v>20.5</v>
      </c>
      <c r="H74" s="12" t="n">
        <v>-0.45</v>
      </c>
      <c r="I74" s="12" t="n">
        <v>3.5</v>
      </c>
      <c r="J74" s="12" t="n">
        <v>3.5</v>
      </c>
      <c r="K74" s="12" t="n">
        <v>4</v>
      </c>
      <c r="L74" s="13" t="n">
        <v>0</v>
      </c>
      <c r="M74" s="11"/>
    </row>
    <row r="75" customFormat="false" ht="15" hidden="false" customHeight="false" outlineLevel="0" collapsed="false">
      <c r="A75" s="5" t="n">
        <v>70</v>
      </c>
      <c r="B75" s="5" t="s">
        <v>103</v>
      </c>
      <c r="C75" s="5" t="s">
        <v>104</v>
      </c>
      <c r="D75" s="5" t="s">
        <v>15</v>
      </c>
      <c r="E75" s="5" t="s">
        <v>15</v>
      </c>
      <c r="F75" s="14" t="n">
        <v>1.8</v>
      </c>
      <c r="G75" s="14" t="n">
        <v>27.5</v>
      </c>
      <c r="H75" s="14" t="n">
        <v>-0.45</v>
      </c>
      <c r="I75" s="14" t="n">
        <v>3.5</v>
      </c>
      <c r="J75" s="14" t="n">
        <v>3.5</v>
      </c>
      <c r="K75" s="14" t="n">
        <v>4</v>
      </c>
      <c r="L75" s="15" t="n">
        <v>0</v>
      </c>
      <c r="M75" s="5"/>
    </row>
    <row r="76" customFormat="false" ht="15" hidden="false" customHeight="false" outlineLevel="0" collapsed="false">
      <c r="A76" s="11" t="n">
        <v>71</v>
      </c>
      <c r="B76" s="11" t="s">
        <v>105</v>
      </c>
      <c r="C76" s="11" t="s">
        <v>106</v>
      </c>
      <c r="D76" s="11" t="s">
        <v>15</v>
      </c>
      <c r="E76" s="11" t="s">
        <v>15</v>
      </c>
      <c r="F76" s="12" t="n">
        <v>29.1</v>
      </c>
      <c r="G76" s="12" t="n">
        <v>18.5</v>
      </c>
      <c r="H76" s="12" t="n">
        <v>-0.45</v>
      </c>
      <c r="I76" s="12" t="n">
        <v>6</v>
      </c>
      <c r="J76" s="12" t="n">
        <v>6</v>
      </c>
      <c r="K76" s="12" t="n">
        <v>7</v>
      </c>
      <c r="L76" s="13" t="n">
        <v>0</v>
      </c>
      <c r="M76" s="11"/>
    </row>
    <row r="77" customFormat="false" ht="15" hidden="false" customHeight="false" outlineLevel="0" collapsed="false">
      <c r="A77" s="5" t="n">
        <v>72</v>
      </c>
      <c r="B77" s="5" t="s">
        <v>107</v>
      </c>
      <c r="C77" s="5" t="s">
        <v>108</v>
      </c>
      <c r="D77" s="5" t="s">
        <v>15</v>
      </c>
      <c r="E77" s="5" t="s">
        <v>15</v>
      </c>
      <c r="F77" s="14" t="n">
        <v>11.4</v>
      </c>
      <c r="G77" s="14" t="n">
        <v>17.55</v>
      </c>
      <c r="H77" s="14" t="n">
        <v>-0.45</v>
      </c>
      <c r="I77" s="14" t="n">
        <v>3.6</v>
      </c>
      <c r="J77" s="14" t="n">
        <v>3.6</v>
      </c>
      <c r="K77" s="14" t="n">
        <v>4.5</v>
      </c>
      <c r="L77" s="15" t="n">
        <v>0</v>
      </c>
      <c r="M77" s="5"/>
    </row>
    <row r="78" customFormat="false" ht="15" hidden="false" customHeight="false" outlineLevel="0" collapsed="false">
      <c r="A78" s="11" t="n">
        <v>73</v>
      </c>
      <c r="B78" s="11" t="s">
        <v>109</v>
      </c>
      <c r="C78" s="11" t="s">
        <v>110</v>
      </c>
      <c r="D78" s="11" t="s">
        <v>15</v>
      </c>
      <c r="E78" s="11" t="s">
        <v>15</v>
      </c>
      <c r="F78" s="12" t="n">
        <v>29.1</v>
      </c>
      <c r="G78" s="12" t="n">
        <v>28.5</v>
      </c>
      <c r="H78" s="12" t="n">
        <v>-0.45</v>
      </c>
      <c r="I78" s="12" t="n">
        <v>5</v>
      </c>
      <c r="J78" s="12" t="n">
        <v>5</v>
      </c>
      <c r="K78" s="12" t="n">
        <v>6</v>
      </c>
      <c r="L78" s="13" t="n">
        <v>0</v>
      </c>
      <c r="M78" s="11"/>
    </row>
    <row r="80" customFormat="false" ht="15" hidden="false" customHeight="false" outlineLevel="0" collapsed="false">
      <c r="A80" s="3" t="s">
        <v>111</v>
      </c>
    </row>
  </sheetData>
  <autoFilter ref="A5:M78"/>
  <printOptions headings="false" gridLines="false" gridLinesSet="true" horizontalCentered="false" verticalCentered="false"/>
  <pageMargins left="0.75" right="0.75" top="1" bottom="1" header="0.5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&amp;CVilla 5130272, Jebel Ali Hills: Furniture and tree placements</oddHeader>
    <oddFooter>&amp;CCONCEPT DESIGN, NOT FOR CONSTRUCTION&amp;RPage &amp;P of &amp;N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8"/>
    <col collapsed="false" customWidth="true" hidden="false" outlineLevel="0" max="8" min="3" style="0" width="11"/>
    <col collapsed="false" customWidth="true" hidden="false" outlineLevel="0" max="9" min="9" style="0" width="9"/>
    <col collapsed="false" customWidth="true" hidden="false" outlineLevel="0" max="10" min="10" style="0" width="18"/>
    <col collapsed="false" customWidth="true" hidden="false" outlineLevel="0" max="12" min="11" style="0" width="12"/>
  </cols>
  <sheetData>
    <row r="1" customFormat="false" ht="17.35" hidden="false" customHeight="false" outlineLevel="0" collapsed="false">
      <c r="A1" s="1" t="s">
        <v>112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113</v>
      </c>
    </row>
    <row r="5" customFormat="false" ht="30" hidden="false" customHeight="true" outlineLevel="0" collapsed="false">
      <c r="A5" s="10" t="s">
        <v>23</v>
      </c>
      <c r="B5" s="10" t="s">
        <v>114</v>
      </c>
      <c r="C5" s="10" t="s">
        <v>115</v>
      </c>
      <c r="D5" s="10" t="s">
        <v>116</v>
      </c>
      <c r="E5" s="10" t="s">
        <v>117</v>
      </c>
      <c r="F5" s="10" t="s">
        <v>118</v>
      </c>
      <c r="G5" s="10" t="s">
        <v>119</v>
      </c>
      <c r="H5" s="10" t="s">
        <v>120</v>
      </c>
      <c r="I5" s="10" t="s">
        <v>121</v>
      </c>
      <c r="J5" s="10" t="s">
        <v>122</v>
      </c>
      <c r="K5" s="10" t="s">
        <v>123</v>
      </c>
      <c r="L5" s="10" t="s">
        <v>124</v>
      </c>
    </row>
    <row r="6" customFormat="false" ht="15" hidden="false" customHeight="false" outlineLevel="0" collapsed="false">
      <c r="A6" s="11" t="n">
        <v>1</v>
      </c>
      <c r="B6" s="11" t="s">
        <v>125</v>
      </c>
      <c r="C6" s="12" t="n">
        <v>-13</v>
      </c>
      <c r="D6" s="12" t="n">
        <v>1.5</v>
      </c>
      <c r="E6" s="12" t="n">
        <v>1.7</v>
      </c>
      <c r="F6" s="12" t="n">
        <v>9.5</v>
      </c>
      <c r="G6" s="12" t="n">
        <v>18.5</v>
      </c>
      <c r="H6" s="12" t="n">
        <v>4.5</v>
      </c>
      <c r="I6" s="13" t="n">
        <v>26</v>
      </c>
      <c r="J6" s="11" t="s">
        <v>126</v>
      </c>
      <c r="K6" s="16" t="n">
        <v>242.2</v>
      </c>
      <c r="L6" s="16" t="n">
        <v>45.7</v>
      </c>
    </row>
    <row r="7" customFormat="false" ht="15" hidden="false" customHeight="false" outlineLevel="0" collapsed="false">
      <c r="A7" s="5" t="n">
        <v>2</v>
      </c>
      <c r="B7" s="5" t="s">
        <v>127</v>
      </c>
      <c r="C7" s="14" t="n">
        <v>5</v>
      </c>
      <c r="D7" s="14" t="n">
        <v>16</v>
      </c>
      <c r="E7" s="14" t="n">
        <v>1.6</v>
      </c>
      <c r="F7" s="14" t="n">
        <v>9.5</v>
      </c>
      <c r="G7" s="14" t="n">
        <v>20.5</v>
      </c>
      <c r="H7" s="14" t="n">
        <v>3.2</v>
      </c>
      <c r="I7" s="15" t="n">
        <v>20</v>
      </c>
      <c r="J7" s="5" t="s">
        <v>128</v>
      </c>
      <c r="K7" s="17" t="n">
        <v>108.1</v>
      </c>
      <c r="L7" s="17" t="n">
        <v>34.2</v>
      </c>
    </row>
    <row r="8" customFormat="false" ht="15" hidden="false" customHeight="false" outlineLevel="0" collapsed="false">
      <c r="A8" s="11" t="n">
        <v>3</v>
      </c>
      <c r="B8" s="11" t="s">
        <v>129</v>
      </c>
      <c r="C8" s="12" t="n">
        <v>18.3</v>
      </c>
      <c r="D8" s="12" t="n">
        <v>16.3</v>
      </c>
      <c r="E8" s="12" t="n">
        <v>1.5</v>
      </c>
      <c r="F8" s="12" t="n">
        <v>9.5</v>
      </c>
      <c r="G8" s="12" t="n">
        <v>18.8</v>
      </c>
      <c r="H8" s="12" t="n">
        <v>2.4</v>
      </c>
      <c r="I8" s="13" t="n">
        <v>18</v>
      </c>
      <c r="J8" s="11" t="s">
        <v>126</v>
      </c>
      <c r="K8" s="16" t="n">
        <v>242.2</v>
      </c>
      <c r="L8" s="16" t="n">
        <v>45.7</v>
      </c>
    </row>
    <row r="9" customFormat="false" ht="15" hidden="false" customHeight="false" outlineLevel="0" collapsed="false">
      <c r="A9" s="5" t="n">
        <v>4</v>
      </c>
      <c r="B9" s="5" t="s">
        <v>130</v>
      </c>
      <c r="C9" s="14" t="n">
        <v>18.2</v>
      </c>
      <c r="D9" s="14" t="n">
        <v>29.6</v>
      </c>
      <c r="E9" s="14" t="n">
        <v>1.5</v>
      </c>
      <c r="F9" s="14" t="n">
        <v>14.2</v>
      </c>
      <c r="G9" s="14" t="n">
        <v>23.8</v>
      </c>
      <c r="H9" s="14" t="n">
        <v>1.5</v>
      </c>
      <c r="I9" s="15" t="n">
        <v>20</v>
      </c>
      <c r="J9" s="5" t="s">
        <v>128</v>
      </c>
      <c r="K9" s="17" t="n">
        <v>108.1</v>
      </c>
      <c r="L9" s="17" t="n">
        <v>34.2</v>
      </c>
    </row>
    <row r="10" customFormat="false" ht="15" hidden="false" customHeight="false" outlineLevel="0" collapsed="false">
      <c r="A10" s="11" t="n">
        <v>5</v>
      </c>
      <c r="B10" s="11" t="s">
        <v>131</v>
      </c>
      <c r="C10" s="12" t="n">
        <v>18.3</v>
      </c>
      <c r="D10" s="12" t="n">
        <v>15.7</v>
      </c>
      <c r="E10" s="12" t="n">
        <v>6.4</v>
      </c>
      <c r="F10" s="12" t="n">
        <v>14.2</v>
      </c>
      <c r="G10" s="12" t="n">
        <v>19.4</v>
      </c>
      <c r="H10" s="12" t="n">
        <v>6</v>
      </c>
      <c r="I10" s="13" t="n">
        <v>20</v>
      </c>
      <c r="J10" s="11" t="s">
        <v>128</v>
      </c>
      <c r="K10" s="16" t="n">
        <v>108.1</v>
      </c>
      <c r="L10" s="16" t="n">
        <v>34.2</v>
      </c>
    </row>
    <row r="11" customFormat="false" ht="15" hidden="false" customHeight="false" outlineLevel="0" collapsed="false">
      <c r="A11" s="5" t="n">
        <v>6</v>
      </c>
      <c r="B11" s="5" t="s">
        <v>132</v>
      </c>
      <c r="C11" s="14" t="n">
        <v>27.5</v>
      </c>
      <c r="D11" s="14" t="n">
        <v>29.5</v>
      </c>
      <c r="E11" s="14" t="n">
        <v>1.6</v>
      </c>
      <c r="F11" s="14" t="n">
        <v>17</v>
      </c>
      <c r="G11" s="14" t="n">
        <v>18.5</v>
      </c>
      <c r="H11" s="14" t="n">
        <v>3.5</v>
      </c>
      <c r="I11" s="15" t="n">
        <v>22</v>
      </c>
      <c r="J11" s="5" t="s">
        <v>133</v>
      </c>
      <c r="K11" s="17" t="n">
        <v>268</v>
      </c>
      <c r="L11" s="17" t="n">
        <v>5.4</v>
      </c>
    </row>
    <row r="12" customFormat="false" ht="15" hidden="false" customHeight="false" outlineLevel="0" collapsed="false">
      <c r="A12" s="11" t="n">
        <v>7</v>
      </c>
      <c r="B12" s="11" t="s">
        <v>134</v>
      </c>
      <c r="C12" s="12" t="n">
        <v>-12</v>
      </c>
      <c r="D12" s="12" t="n">
        <v>-8</v>
      </c>
      <c r="E12" s="12" t="n">
        <v>24</v>
      </c>
      <c r="F12" s="12" t="n">
        <v>13</v>
      </c>
      <c r="G12" s="12" t="n">
        <v>19</v>
      </c>
      <c r="H12" s="12" t="n">
        <v>3</v>
      </c>
      <c r="I12" s="13" t="n">
        <v>35</v>
      </c>
      <c r="J12" s="11" t="s">
        <v>126</v>
      </c>
      <c r="K12" s="16" t="n">
        <v>242.2</v>
      </c>
      <c r="L12" s="16" t="n">
        <v>45.7</v>
      </c>
    </row>
    <row r="14" customFormat="false" ht="15" hidden="false" customHeight="false" outlineLevel="0" collapsed="false">
      <c r="A14" s="3" t="s">
        <v>135</v>
      </c>
    </row>
  </sheetData>
  <printOptions headings="false" gridLines="false" gridLinesSet="true" horizontalCentered="false" verticalCentered="false"/>
  <pageMargins left="0.75" right="0.75" top="1" bottom="1" header="0.5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&amp;CVilla 5130272, Jebel Ali Hills: Camera views and sun positions</oddHeader>
    <oddFooter>&amp;CCONCEPT DESIGN, NOT FOR CONSTRUCTION&amp;RPage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0"/>
    <col collapsed="false" customWidth="true" hidden="false" outlineLevel="0" max="3" min="3" style="0" width="52"/>
    <col collapsed="false" customWidth="true" hidden="false" outlineLevel="0" max="4" min="4" style="0" width="42"/>
    <col collapsed="false" customWidth="true" hidden="false" outlineLevel="0" max="5" min="5" style="0" width="10"/>
    <col collapsed="false" customWidth="true" hidden="false" outlineLevel="0" max="6" min="6" style="0" width="12"/>
    <col collapsed="false" customWidth="true" hidden="false" outlineLevel="0" max="7" min="7" style="0" width="40"/>
    <col collapsed="false" customWidth="true" hidden="false" outlineLevel="0" max="8" min="8" style="0" width="24"/>
  </cols>
  <sheetData>
    <row r="1" customFormat="false" ht="17.35" hidden="false" customHeight="false" outlineLevel="0" collapsed="false">
      <c r="A1" s="1" t="s">
        <v>136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137</v>
      </c>
    </row>
    <row r="5" customFormat="false" ht="30" hidden="false" customHeight="true" outlineLevel="0" collapsed="false">
      <c r="A5" s="10" t="s">
        <v>23</v>
      </c>
      <c r="B5" s="10" t="s">
        <v>138</v>
      </c>
      <c r="C5" s="10" t="s">
        <v>139</v>
      </c>
      <c r="D5" s="10" t="s">
        <v>140</v>
      </c>
      <c r="E5" s="10" t="s">
        <v>141</v>
      </c>
      <c r="F5" s="10" t="s">
        <v>142</v>
      </c>
      <c r="G5" s="10" t="s">
        <v>143</v>
      </c>
      <c r="H5" s="10" t="s">
        <v>144</v>
      </c>
    </row>
    <row r="6" customFormat="false" ht="15" hidden="false" customHeight="false" outlineLevel="0" collapsed="false">
      <c r="A6" s="11" t="n">
        <v>1</v>
      </c>
      <c r="B6" s="11" t="s">
        <v>145</v>
      </c>
      <c r="C6" s="11" t="s">
        <v>146</v>
      </c>
      <c r="D6" s="11" t="s">
        <v>147</v>
      </c>
      <c r="E6" s="18"/>
      <c r="F6" s="11" t="s">
        <v>148</v>
      </c>
      <c r="G6" s="11" t="s">
        <v>149</v>
      </c>
      <c r="H6" s="11" t="s">
        <v>150</v>
      </c>
    </row>
    <row r="7" customFormat="false" ht="15" hidden="false" customHeight="false" outlineLevel="0" collapsed="false">
      <c r="A7" s="5" t="n">
        <v>2</v>
      </c>
      <c r="B7" s="5" t="s">
        <v>145</v>
      </c>
      <c r="C7" s="5" t="s">
        <v>151</v>
      </c>
      <c r="D7" s="5" t="s">
        <v>152</v>
      </c>
      <c r="E7" s="19"/>
      <c r="F7" s="5" t="s">
        <v>153</v>
      </c>
      <c r="G7" s="5" t="s">
        <v>154</v>
      </c>
      <c r="H7" s="5" t="s">
        <v>155</v>
      </c>
    </row>
    <row r="8" customFormat="false" ht="15" hidden="false" customHeight="false" outlineLevel="0" collapsed="false">
      <c r="A8" s="11" t="n">
        <v>3</v>
      </c>
      <c r="B8" s="11" t="s">
        <v>145</v>
      </c>
      <c r="C8" s="11" t="s">
        <v>156</v>
      </c>
      <c r="D8" s="11" t="s">
        <v>157</v>
      </c>
      <c r="E8" s="20"/>
      <c r="F8" s="11" t="s">
        <v>158</v>
      </c>
      <c r="G8" s="11" t="s">
        <v>159</v>
      </c>
      <c r="H8" s="11" t="s">
        <v>150</v>
      </c>
    </row>
    <row r="9" customFormat="false" ht="15" hidden="false" customHeight="false" outlineLevel="0" collapsed="false">
      <c r="A9" s="5" t="n">
        <v>4</v>
      </c>
      <c r="B9" s="5" t="s">
        <v>145</v>
      </c>
      <c r="C9" s="5" t="s">
        <v>160</v>
      </c>
      <c r="D9" s="5" t="s">
        <v>161</v>
      </c>
      <c r="E9" s="21"/>
      <c r="F9" s="5" t="s">
        <v>162</v>
      </c>
      <c r="G9" s="5" t="s">
        <v>163</v>
      </c>
      <c r="H9" s="5" t="s">
        <v>150</v>
      </c>
    </row>
    <row r="10" customFormat="false" ht="15" hidden="false" customHeight="false" outlineLevel="0" collapsed="false">
      <c r="A10" s="11" t="n">
        <v>5</v>
      </c>
      <c r="B10" s="11" t="s">
        <v>145</v>
      </c>
      <c r="C10" s="11" t="s">
        <v>164</v>
      </c>
      <c r="D10" s="11" t="s">
        <v>165</v>
      </c>
      <c r="E10" s="22"/>
      <c r="F10" s="11" t="s">
        <v>166</v>
      </c>
      <c r="G10" s="11" t="s">
        <v>167</v>
      </c>
      <c r="H10" s="11" t="s">
        <v>155</v>
      </c>
    </row>
    <row r="11" customFormat="false" ht="15" hidden="false" customHeight="false" outlineLevel="0" collapsed="false">
      <c r="A11" s="5" t="n">
        <v>6</v>
      </c>
      <c r="B11" s="5" t="s">
        <v>145</v>
      </c>
      <c r="C11" s="5" t="s">
        <v>168</v>
      </c>
      <c r="D11" s="5" t="s">
        <v>169</v>
      </c>
      <c r="E11" s="23"/>
      <c r="F11" s="5" t="s">
        <v>170</v>
      </c>
      <c r="G11" s="5" t="s">
        <v>171</v>
      </c>
      <c r="H11" s="5" t="s">
        <v>150</v>
      </c>
    </row>
    <row r="12" customFormat="false" ht="15" hidden="false" customHeight="false" outlineLevel="0" collapsed="false">
      <c r="A12" s="11" t="n">
        <v>7</v>
      </c>
      <c r="B12" s="11" t="s">
        <v>145</v>
      </c>
      <c r="C12" s="11" t="s">
        <v>172</v>
      </c>
      <c r="D12" s="11" t="s">
        <v>173</v>
      </c>
      <c r="E12" s="24"/>
      <c r="F12" s="11" t="s">
        <v>174</v>
      </c>
      <c r="G12" s="11" t="s">
        <v>175</v>
      </c>
      <c r="H12" s="11" t="s">
        <v>155</v>
      </c>
    </row>
    <row r="13" customFormat="false" ht="15" hidden="false" customHeight="false" outlineLevel="0" collapsed="false">
      <c r="A13" s="5" t="n">
        <v>8</v>
      </c>
      <c r="B13" s="5" t="s">
        <v>145</v>
      </c>
      <c r="C13" s="5" t="s">
        <v>176</v>
      </c>
      <c r="D13" s="5" t="s">
        <v>177</v>
      </c>
      <c r="E13" s="25"/>
      <c r="F13" s="5" t="s">
        <v>178</v>
      </c>
      <c r="G13" s="5" t="s">
        <v>179</v>
      </c>
      <c r="H13" s="5" t="s">
        <v>150</v>
      </c>
    </row>
    <row r="14" customFormat="false" ht="15" hidden="false" customHeight="false" outlineLevel="0" collapsed="false">
      <c r="A14" s="11" t="n">
        <v>9</v>
      </c>
      <c r="B14" s="11" t="s">
        <v>145</v>
      </c>
      <c r="C14" s="11" t="s">
        <v>180</v>
      </c>
      <c r="D14" s="11" t="s">
        <v>181</v>
      </c>
      <c r="E14" s="26"/>
      <c r="F14" s="11" t="s">
        <v>182</v>
      </c>
      <c r="G14" s="11" t="s">
        <v>183</v>
      </c>
      <c r="H14" s="11" t="s">
        <v>155</v>
      </c>
    </row>
    <row r="15" customFormat="false" ht="15" hidden="false" customHeight="false" outlineLevel="0" collapsed="false">
      <c r="A15" s="5" t="n">
        <v>10</v>
      </c>
      <c r="B15" s="5" t="s">
        <v>145</v>
      </c>
      <c r="C15" s="5" t="s">
        <v>184</v>
      </c>
      <c r="D15" s="5" t="s">
        <v>185</v>
      </c>
      <c r="E15" s="27"/>
      <c r="F15" s="5" t="s">
        <v>186</v>
      </c>
      <c r="G15" s="5" t="s">
        <v>187</v>
      </c>
      <c r="H15" s="5" t="s">
        <v>155</v>
      </c>
    </row>
    <row r="16" customFormat="false" ht="15" hidden="false" customHeight="false" outlineLevel="0" collapsed="false">
      <c r="A16" s="11" t="n">
        <v>11</v>
      </c>
      <c r="B16" s="11" t="s">
        <v>145</v>
      </c>
      <c r="C16" s="11" t="s">
        <v>188</v>
      </c>
      <c r="D16" s="11" t="s">
        <v>189</v>
      </c>
      <c r="E16" s="28"/>
      <c r="F16" s="11" t="s">
        <v>190</v>
      </c>
      <c r="G16" s="11" t="s">
        <v>191</v>
      </c>
      <c r="H16" s="11" t="s">
        <v>155</v>
      </c>
    </row>
    <row r="17" customFormat="false" ht="15" hidden="false" customHeight="false" outlineLevel="0" collapsed="false">
      <c r="A17" s="5" t="n">
        <v>12</v>
      </c>
      <c r="B17" s="5" t="s">
        <v>145</v>
      </c>
      <c r="C17" s="5" t="s">
        <v>192</v>
      </c>
      <c r="D17" s="5" t="s">
        <v>193</v>
      </c>
      <c r="E17" s="29"/>
      <c r="F17" s="5" t="s">
        <v>194</v>
      </c>
      <c r="G17" s="5" t="s">
        <v>195</v>
      </c>
      <c r="H17" s="5" t="s">
        <v>155</v>
      </c>
    </row>
    <row r="18" customFormat="false" ht="15" hidden="false" customHeight="false" outlineLevel="0" collapsed="false">
      <c r="A18" s="11" t="n">
        <v>13</v>
      </c>
      <c r="B18" s="11" t="s">
        <v>145</v>
      </c>
      <c r="C18" s="11" t="s">
        <v>196</v>
      </c>
      <c r="D18" s="11" t="s">
        <v>197</v>
      </c>
      <c r="E18" s="30"/>
      <c r="F18" s="11" t="s">
        <v>198</v>
      </c>
      <c r="G18" s="11" t="s">
        <v>199</v>
      </c>
      <c r="H18" s="11" t="s">
        <v>150</v>
      </c>
    </row>
    <row r="19" customFormat="false" ht="15" hidden="false" customHeight="false" outlineLevel="0" collapsed="false">
      <c r="A19" s="5" t="n">
        <v>14</v>
      </c>
      <c r="B19" s="5" t="s">
        <v>145</v>
      </c>
      <c r="C19" s="5" t="s">
        <v>200</v>
      </c>
      <c r="D19" s="5" t="s">
        <v>201</v>
      </c>
      <c r="E19" s="31"/>
      <c r="F19" s="5" t="s">
        <v>202</v>
      </c>
      <c r="G19" s="5" t="s">
        <v>203</v>
      </c>
      <c r="H19" s="5" t="s">
        <v>155</v>
      </c>
    </row>
    <row r="20" customFormat="false" ht="23.85" hidden="false" customHeight="false" outlineLevel="0" collapsed="false">
      <c r="A20" s="11" t="n">
        <v>15</v>
      </c>
      <c r="B20" s="11" t="s">
        <v>145</v>
      </c>
      <c r="C20" s="11" t="s">
        <v>204</v>
      </c>
      <c r="D20" s="11" t="s">
        <v>205</v>
      </c>
      <c r="E20" s="32"/>
      <c r="F20" s="11" t="s">
        <v>206</v>
      </c>
      <c r="G20" s="11" t="s">
        <v>203</v>
      </c>
      <c r="H20" s="11" t="s">
        <v>150</v>
      </c>
    </row>
    <row r="21" customFormat="false" ht="15" hidden="false" customHeight="false" outlineLevel="0" collapsed="false">
      <c r="A21" s="5" t="n">
        <v>16</v>
      </c>
      <c r="B21" s="5" t="s">
        <v>145</v>
      </c>
      <c r="C21" s="5" t="s">
        <v>207</v>
      </c>
      <c r="D21" s="5" t="s">
        <v>208</v>
      </c>
      <c r="E21" s="28"/>
      <c r="F21" s="5" t="s">
        <v>190</v>
      </c>
      <c r="G21" s="5" t="s">
        <v>209</v>
      </c>
      <c r="H21" s="5" t="s">
        <v>150</v>
      </c>
    </row>
    <row r="22" customFormat="false" ht="15" hidden="false" customHeight="false" outlineLevel="0" collapsed="false">
      <c r="A22" s="11" t="n">
        <v>17</v>
      </c>
      <c r="B22" s="11" t="s">
        <v>210</v>
      </c>
      <c r="C22" s="11" t="s">
        <v>211</v>
      </c>
      <c r="D22" s="11" t="s">
        <v>212</v>
      </c>
      <c r="E22" s="33"/>
      <c r="F22" s="11" t="s">
        <v>213</v>
      </c>
      <c r="G22" s="11" t="s">
        <v>214</v>
      </c>
      <c r="H22" s="11" t="s">
        <v>150</v>
      </c>
    </row>
    <row r="23" customFormat="false" ht="15" hidden="false" customHeight="false" outlineLevel="0" collapsed="false">
      <c r="A23" s="5" t="n">
        <v>18</v>
      </c>
      <c r="B23" s="5" t="s">
        <v>210</v>
      </c>
      <c r="C23" s="5" t="s">
        <v>215</v>
      </c>
      <c r="D23" s="5" t="s">
        <v>216</v>
      </c>
      <c r="E23" s="34"/>
      <c r="F23" s="5" t="s">
        <v>217</v>
      </c>
      <c r="G23" s="5" t="s">
        <v>218</v>
      </c>
      <c r="H23" s="5" t="s">
        <v>150</v>
      </c>
    </row>
    <row r="24" customFormat="false" ht="15" hidden="false" customHeight="false" outlineLevel="0" collapsed="false">
      <c r="A24" s="11" t="n">
        <v>19</v>
      </c>
      <c r="B24" s="11" t="s">
        <v>210</v>
      </c>
      <c r="C24" s="11" t="s">
        <v>219</v>
      </c>
      <c r="D24" s="11" t="s">
        <v>220</v>
      </c>
      <c r="E24" s="34"/>
      <c r="F24" s="11" t="s">
        <v>217</v>
      </c>
      <c r="G24" s="11" t="s">
        <v>218</v>
      </c>
      <c r="H24" s="11" t="s">
        <v>150</v>
      </c>
    </row>
    <row r="25" customFormat="false" ht="15" hidden="false" customHeight="false" outlineLevel="0" collapsed="false">
      <c r="A25" s="5" t="n">
        <v>20</v>
      </c>
      <c r="B25" s="5" t="s">
        <v>210</v>
      </c>
      <c r="C25" s="5" t="s">
        <v>221</v>
      </c>
      <c r="D25" s="5" t="s">
        <v>222</v>
      </c>
      <c r="E25" s="35"/>
      <c r="F25" s="5" t="s">
        <v>223</v>
      </c>
      <c r="G25" s="5" t="s">
        <v>224</v>
      </c>
      <c r="H25" s="5" t="s">
        <v>155</v>
      </c>
    </row>
    <row r="26" customFormat="false" ht="15" hidden="false" customHeight="false" outlineLevel="0" collapsed="false">
      <c r="A26" s="11" t="n">
        <v>21</v>
      </c>
      <c r="B26" s="11" t="s">
        <v>210</v>
      </c>
      <c r="C26" s="11" t="s">
        <v>225</v>
      </c>
      <c r="D26" s="11" t="s">
        <v>226</v>
      </c>
      <c r="E26" s="36"/>
      <c r="F26" s="11" t="s">
        <v>227</v>
      </c>
      <c r="G26" s="11" t="s">
        <v>228</v>
      </c>
      <c r="H26" s="11" t="s">
        <v>150</v>
      </c>
    </row>
    <row r="27" customFormat="false" ht="15" hidden="false" customHeight="false" outlineLevel="0" collapsed="false">
      <c r="A27" s="5" t="n">
        <v>22</v>
      </c>
      <c r="B27" s="5" t="s">
        <v>210</v>
      </c>
      <c r="C27" s="5" t="s">
        <v>229</v>
      </c>
      <c r="D27" s="5" t="s">
        <v>230</v>
      </c>
      <c r="E27" s="37"/>
      <c r="F27" s="5" t="s">
        <v>231</v>
      </c>
      <c r="G27" s="5" t="s">
        <v>232</v>
      </c>
      <c r="H27" s="5" t="s">
        <v>150</v>
      </c>
    </row>
    <row r="28" customFormat="false" ht="15" hidden="false" customHeight="false" outlineLevel="0" collapsed="false">
      <c r="A28" s="11" t="n">
        <v>23</v>
      </c>
      <c r="B28" s="11" t="s">
        <v>210</v>
      </c>
      <c r="C28" s="11" t="s">
        <v>233</v>
      </c>
      <c r="D28" s="11" t="s">
        <v>234</v>
      </c>
      <c r="E28" s="38"/>
      <c r="F28" s="11" t="s">
        <v>235</v>
      </c>
      <c r="G28" s="11" t="s">
        <v>236</v>
      </c>
      <c r="H28" s="11" t="s">
        <v>150</v>
      </c>
    </row>
    <row r="29" customFormat="false" ht="15" hidden="false" customHeight="false" outlineLevel="0" collapsed="false">
      <c r="A29" s="5" t="n">
        <v>24</v>
      </c>
      <c r="B29" s="5" t="s">
        <v>210</v>
      </c>
      <c r="C29" s="5" t="s">
        <v>237</v>
      </c>
      <c r="D29" s="5" t="s">
        <v>238</v>
      </c>
      <c r="E29" s="39"/>
      <c r="F29" s="5" t="s">
        <v>239</v>
      </c>
      <c r="G29" s="5" t="s">
        <v>232</v>
      </c>
      <c r="H29" s="5" t="s">
        <v>150</v>
      </c>
    </row>
    <row r="30" customFormat="false" ht="15" hidden="false" customHeight="false" outlineLevel="0" collapsed="false">
      <c r="A30" s="11" t="n">
        <v>25</v>
      </c>
      <c r="B30" s="11" t="s">
        <v>210</v>
      </c>
      <c r="C30" s="11" t="s">
        <v>240</v>
      </c>
      <c r="D30" s="11" t="s">
        <v>241</v>
      </c>
      <c r="E30" s="40"/>
      <c r="F30" s="11" t="s">
        <v>242</v>
      </c>
      <c r="G30" s="11" t="s">
        <v>243</v>
      </c>
      <c r="H30" s="11" t="s">
        <v>150</v>
      </c>
    </row>
    <row r="31" customFormat="false" ht="15" hidden="false" customHeight="false" outlineLevel="0" collapsed="false">
      <c r="A31" s="5" t="n">
        <v>26</v>
      </c>
      <c r="B31" s="5" t="s">
        <v>244</v>
      </c>
      <c r="C31" s="5" t="s">
        <v>245</v>
      </c>
      <c r="D31" s="5" t="s">
        <v>212</v>
      </c>
      <c r="E31" s="41"/>
      <c r="F31" s="5" t="s">
        <v>246</v>
      </c>
      <c r="G31" s="5" t="s">
        <v>247</v>
      </c>
      <c r="H31" s="5" t="s">
        <v>155</v>
      </c>
    </row>
    <row r="32" customFormat="false" ht="15" hidden="false" customHeight="false" outlineLevel="0" collapsed="false">
      <c r="A32" s="11" t="n">
        <v>27</v>
      </c>
      <c r="B32" s="11" t="s">
        <v>244</v>
      </c>
      <c r="C32" s="11" t="s">
        <v>248</v>
      </c>
      <c r="D32" s="11" t="s">
        <v>216</v>
      </c>
      <c r="E32" s="42"/>
      <c r="F32" s="11" t="s">
        <v>249</v>
      </c>
      <c r="G32" s="11" t="s">
        <v>250</v>
      </c>
      <c r="H32" s="11" t="s">
        <v>155</v>
      </c>
    </row>
    <row r="33" customFormat="false" ht="15" hidden="false" customHeight="false" outlineLevel="0" collapsed="false">
      <c r="A33" s="5" t="n">
        <v>28</v>
      </c>
      <c r="B33" s="5" t="s">
        <v>244</v>
      </c>
      <c r="C33" s="5" t="s">
        <v>251</v>
      </c>
      <c r="D33" s="5" t="s">
        <v>220</v>
      </c>
      <c r="E33" s="43"/>
      <c r="F33" s="5" t="s">
        <v>252</v>
      </c>
      <c r="G33" s="5" t="s">
        <v>253</v>
      </c>
      <c r="H33" s="5" t="s">
        <v>155</v>
      </c>
    </row>
    <row r="34" customFormat="false" ht="15" hidden="false" customHeight="false" outlineLevel="0" collapsed="false">
      <c r="A34" s="11" t="n">
        <v>29</v>
      </c>
      <c r="B34" s="11" t="s">
        <v>244</v>
      </c>
      <c r="C34" s="11" t="s">
        <v>254</v>
      </c>
      <c r="D34" s="11" t="s">
        <v>222</v>
      </c>
      <c r="E34" s="44"/>
      <c r="F34" s="11" t="s">
        <v>255</v>
      </c>
      <c r="G34" s="11" t="s">
        <v>256</v>
      </c>
      <c r="H34" s="11" t="s">
        <v>155</v>
      </c>
    </row>
    <row r="35" customFormat="false" ht="15" hidden="false" customHeight="false" outlineLevel="0" collapsed="false">
      <c r="A35" s="5" t="n">
        <v>30</v>
      </c>
      <c r="B35" s="5" t="s">
        <v>244</v>
      </c>
      <c r="C35" s="5" t="s">
        <v>257</v>
      </c>
      <c r="D35" s="5" t="s">
        <v>226</v>
      </c>
      <c r="E35" s="45"/>
      <c r="F35" s="5" t="s">
        <v>258</v>
      </c>
      <c r="G35" s="5" t="s">
        <v>259</v>
      </c>
      <c r="H35" s="5" t="s">
        <v>155</v>
      </c>
    </row>
    <row r="36" customFormat="false" ht="15" hidden="false" customHeight="false" outlineLevel="0" collapsed="false">
      <c r="A36" s="11" t="n">
        <v>31</v>
      </c>
      <c r="B36" s="11" t="s">
        <v>244</v>
      </c>
      <c r="C36" s="11" t="s">
        <v>260</v>
      </c>
      <c r="D36" s="11" t="s">
        <v>230</v>
      </c>
      <c r="E36" s="46"/>
      <c r="F36" s="11" t="s">
        <v>261</v>
      </c>
      <c r="G36" s="11" t="s">
        <v>262</v>
      </c>
      <c r="H36" s="11" t="s">
        <v>155</v>
      </c>
    </row>
    <row r="37" customFormat="false" ht="15" hidden="false" customHeight="false" outlineLevel="0" collapsed="false">
      <c r="A37" s="5" t="n">
        <v>32</v>
      </c>
      <c r="B37" s="5" t="s">
        <v>244</v>
      </c>
      <c r="C37" s="5" t="s">
        <v>263</v>
      </c>
      <c r="D37" s="5" t="s">
        <v>234</v>
      </c>
      <c r="E37" s="47"/>
      <c r="F37" s="5" t="s">
        <v>264</v>
      </c>
      <c r="G37" s="5" t="s">
        <v>265</v>
      </c>
      <c r="H37" s="5" t="s">
        <v>155</v>
      </c>
    </row>
    <row r="38" customFormat="false" ht="15" hidden="false" customHeight="false" outlineLevel="0" collapsed="false">
      <c r="A38" s="11" t="n">
        <v>33</v>
      </c>
      <c r="B38" s="11" t="s">
        <v>244</v>
      </c>
      <c r="C38" s="11" t="s">
        <v>266</v>
      </c>
      <c r="D38" s="11" t="s">
        <v>238</v>
      </c>
      <c r="E38" s="48"/>
      <c r="F38" s="11" t="s">
        <v>267</v>
      </c>
      <c r="G38" s="11" t="s">
        <v>268</v>
      </c>
      <c r="H38" s="11" t="s">
        <v>155</v>
      </c>
    </row>
    <row r="39" customFormat="false" ht="15" hidden="false" customHeight="false" outlineLevel="0" collapsed="false">
      <c r="A39" s="5" t="n">
        <v>34</v>
      </c>
      <c r="B39" s="5" t="s">
        <v>244</v>
      </c>
      <c r="C39" s="5" t="s">
        <v>269</v>
      </c>
      <c r="D39" s="5" t="s">
        <v>241</v>
      </c>
      <c r="E39" s="49"/>
      <c r="F39" s="5" t="s">
        <v>270</v>
      </c>
      <c r="G39" s="5" t="s">
        <v>271</v>
      </c>
      <c r="H39" s="5" t="s">
        <v>155</v>
      </c>
    </row>
    <row r="40" customFormat="false" ht="15" hidden="false" customHeight="false" outlineLevel="0" collapsed="false">
      <c r="A40" s="11" t="n">
        <v>35</v>
      </c>
      <c r="B40" s="11" t="s">
        <v>272</v>
      </c>
      <c r="C40" s="11" t="s">
        <v>273</v>
      </c>
      <c r="D40" s="11" t="s">
        <v>212</v>
      </c>
      <c r="E40" s="50"/>
      <c r="F40" s="11" t="s">
        <v>274</v>
      </c>
      <c r="G40" s="11" t="s">
        <v>275</v>
      </c>
      <c r="H40" s="11" t="s">
        <v>155</v>
      </c>
    </row>
    <row r="41" customFormat="false" ht="15" hidden="false" customHeight="false" outlineLevel="0" collapsed="false">
      <c r="A41" s="5" t="n">
        <v>36</v>
      </c>
      <c r="B41" s="5" t="s">
        <v>272</v>
      </c>
      <c r="C41" s="5" t="s">
        <v>215</v>
      </c>
      <c r="D41" s="5" t="s">
        <v>216</v>
      </c>
      <c r="E41" s="51"/>
      <c r="F41" s="5" t="s">
        <v>276</v>
      </c>
      <c r="G41" s="5" t="s">
        <v>277</v>
      </c>
      <c r="H41" s="5" t="s">
        <v>155</v>
      </c>
    </row>
    <row r="42" customFormat="false" ht="15" hidden="false" customHeight="false" outlineLevel="0" collapsed="false">
      <c r="A42" s="11" t="n">
        <v>37</v>
      </c>
      <c r="B42" s="11" t="s">
        <v>272</v>
      </c>
      <c r="C42" s="11" t="s">
        <v>278</v>
      </c>
      <c r="D42" s="11" t="s">
        <v>220</v>
      </c>
      <c r="E42" s="51"/>
      <c r="F42" s="11" t="s">
        <v>276</v>
      </c>
      <c r="G42" s="11" t="s">
        <v>277</v>
      </c>
      <c r="H42" s="11" t="s">
        <v>155</v>
      </c>
    </row>
    <row r="43" customFormat="false" ht="15" hidden="false" customHeight="false" outlineLevel="0" collapsed="false">
      <c r="A43" s="5" t="n">
        <v>38</v>
      </c>
      <c r="B43" s="5" t="s">
        <v>272</v>
      </c>
      <c r="C43" s="5" t="s">
        <v>279</v>
      </c>
      <c r="D43" s="5" t="s">
        <v>222</v>
      </c>
      <c r="E43" s="52"/>
      <c r="F43" s="5" t="s">
        <v>280</v>
      </c>
      <c r="G43" s="5" t="s">
        <v>281</v>
      </c>
      <c r="H43" s="5" t="s">
        <v>155</v>
      </c>
    </row>
    <row r="44" customFormat="false" ht="15" hidden="false" customHeight="false" outlineLevel="0" collapsed="false">
      <c r="A44" s="11" t="n">
        <v>39</v>
      </c>
      <c r="B44" s="11" t="s">
        <v>272</v>
      </c>
      <c r="C44" s="11" t="s">
        <v>282</v>
      </c>
      <c r="D44" s="11" t="s">
        <v>226</v>
      </c>
      <c r="E44" s="53"/>
      <c r="F44" s="11" t="s">
        <v>283</v>
      </c>
      <c r="G44" s="11" t="s">
        <v>284</v>
      </c>
      <c r="H44" s="11" t="s">
        <v>155</v>
      </c>
    </row>
    <row r="45" customFormat="false" ht="15" hidden="false" customHeight="false" outlineLevel="0" collapsed="false">
      <c r="A45" s="5" t="n">
        <v>40</v>
      </c>
      <c r="B45" s="5" t="s">
        <v>272</v>
      </c>
      <c r="C45" s="5" t="s">
        <v>285</v>
      </c>
      <c r="D45" s="5" t="s">
        <v>230</v>
      </c>
      <c r="E45" s="54"/>
      <c r="F45" s="5" t="s">
        <v>286</v>
      </c>
      <c r="G45" s="5" t="s">
        <v>287</v>
      </c>
      <c r="H45" s="5" t="s">
        <v>155</v>
      </c>
    </row>
    <row r="46" customFormat="false" ht="15" hidden="false" customHeight="false" outlineLevel="0" collapsed="false">
      <c r="A46" s="11" t="n">
        <v>41</v>
      </c>
      <c r="B46" s="11" t="s">
        <v>272</v>
      </c>
      <c r="C46" s="11" t="s">
        <v>288</v>
      </c>
      <c r="D46" s="11" t="s">
        <v>234</v>
      </c>
      <c r="E46" s="55"/>
      <c r="F46" s="11" t="s">
        <v>289</v>
      </c>
      <c r="G46" s="11" t="s">
        <v>290</v>
      </c>
      <c r="H46" s="11" t="s">
        <v>155</v>
      </c>
    </row>
    <row r="47" customFormat="false" ht="15" hidden="false" customHeight="false" outlineLevel="0" collapsed="false">
      <c r="A47" s="5" t="n">
        <v>42</v>
      </c>
      <c r="B47" s="5" t="s">
        <v>272</v>
      </c>
      <c r="C47" s="5" t="s">
        <v>291</v>
      </c>
      <c r="D47" s="5" t="s">
        <v>238</v>
      </c>
      <c r="E47" s="56"/>
      <c r="F47" s="5" t="s">
        <v>292</v>
      </c>
      <c r="G47" s="5" t="s">
        <v>293</v>
      </c>
      <c r="H47" s="5" t="s">
        <v>155</v>
      </c>
    </row>
    <row r="48" customFormat="false" ht="15" hidden="false" customHeight="false" outlineLevel="0" collapsed="false">
      <c r="A48" s="11" t="n">
        <v>43</v>
      </c>
      <c r="B48" s="11" t="s">
        <v>272</v>
      </c>
      <c r="C48" s="11" t="s">
        <v>294</v>
      </c>
      <c r="D48" s="11" t="s">
        <v>241</v>
      </c>
      <c r="E48" s="57"/>
      <c r="F48" s="11" t="s">
        <v>295</v>
      </c>
      <c r="G48" s="11" t="s">
        <v>296</v>
      </c>
      <c r="H48" s="11" t="s">
        <v>155</v>
      </c>
    </row>
    <row r="50" customFormat="false" ht="15" hidden="false" customHeight="false" outlineLevel="0" collapsed="false">
      <c r="A50" s="3" t="s">
        <v>297</v>
      </c>
    </row>
  </sheetData>
  <autoFilter ref="A5:H48"/>
  <printOptions headings="false" gridLines="false" gridLinesSet="true" horizontalCentered="false" verticalCentered="false"/>
  <pageMargins left="0.75" right="0.75" top="1" bottom="1" header="0.5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&amp;CVilla 5130272, Jebel Ali Hills: Materials in the import and library matches</oddHeader>
    <oddFooter>&amp;CCONCEPT DESIGN, NOT FOR CONSTRUCTION&amp;RPage &amp;P of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2026-10-23T16:22:05Z</dcterms:created>
  <dc:creator>openpyxl</dc:creator>
  <dc:description/>
  <dc:language>en-US</dc:language>
  <cp:lastModifiedBy/>
  <dcterms:modified xsi:type="dcterms:W3CDTF">2026-10-23T16:22:05Z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